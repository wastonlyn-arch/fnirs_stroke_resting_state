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初始数据" sheetId="1" r:id="rId1"/>
    <sheet name="整理析因分析表格" sheetId="3" r:id="rId2"/>
    <sheet name="结果" sheetId="2" r:id="rId3"/>
    <sheet name="A1" sheetId="4" r:id="rId4"/>
    <sheet name="B2" sheetId="5" r:id="rId5"/>
    <sheet name="C3" sheetId="6" r:id="rId6"/>
    <sheet name="D4" sheetId="7" r:id="rId7"/>
    <sheet name="相关性分析" sheetId="8" r:id="rId8"/>
    <sheet name="Sheet1" sheetId="9" r:id="rId9"/>
    <sheet name="Sheet2" sheetId="10" r:id="rId10"/>
  </sheets>
  <definedNames>
    <definedName name="_xlnm._FilterDatabase" localSheetId="0" hidden="1">初始数据!$A$1:$K$81</definedName>
    <definedName name="_xlnm._FilterDatabase" localSheetId="7" hidden="1">相关性分析!$A$1:$I$81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<sst xmlns="http://schemas.openxmlformats.org/spreadsheetml/2006/main" count="1218" uniqueCount="274">
  <si>
    <t>组别</t>
  </si>
  <si>
    <t>性别</t>
  </si>
  <si>
    <t>年龄</t>
  </si>
  <si>
    <t>病程</t>
  </si>
  <si>
    <t>偏瘫侧别</t>
  </si>
  <si>
    <t>诊断</t>
  </si>
  <si>
    <t>MMSE</t>
  </si>
  <si>
    <t>FMA近初</t>
  </si>
  <si>
    <t>FMA近末</t>
  </si>
  <si>
    <t>FMA近差值</t>
  </si>
  <si>
    <t>FMA远初</t>
  </si>
  <si>
    <t>FMA远末</t>
  </si>
  <si>
    <t>FMA远差值</t>
  </si>
  <si>
    <t>ARAT初</t>
  </si>
  <si>
    <t>ARAT末</t>
  </si>
  <si>
    <t>ARAR差值</t>
  </si>
  <si>
    <t>ADL初</t>
  </si>
  <si>
    <t>ADL末</t>
  </si>
  <si>
    <t>ADL差值</t>
  </si>
  <si>
    <t>丁胜军</t>
  </si>
  <si>
    <t>男</t>
  </si>
  <si>
    <t>左侧</t>
  </si>
  <si>
    <t>脑梗死</t>
  </si>
  <si>
    <t>黄歆</t>
  </si>
  <si>
    <t>右侧</t>
  </si>
  <si>
    <t>脑出血</t>
  </si>
  <si>
    <t>王应宏</t>
  </si>
  <si>
    <t>干慧娟</t>
  </si>
  <si>
    <t>女</t>
  </si>
  <si>
    <t>李月芳</t>
  </si>
  <si>
    <t>齐鸣</t>
  </si>
  <si>
    <t>孟兆贞</t>
  </si>
  <si>
    <t>宋玮娟</t>
  </si>
  <si>
    <t>路凤玉</t>
  </si>
  <si>
    <t>吴远才</t>
  </si>
  <si>
    <t>王经山</t>
  </si>
  <si>
    <t>杨根年</t>
  </si>
  <si>
    <t>沈书桃</t>
  </si>
  <si>
    <t>田维玉</t>
  </si>
  <si>
    <t>徐峰</t>
  </si>
  <si>
    <t>陆鸿根</t>
  </si>
  <si>
    <t>商文广</t>
  </si>
  <si>
    <t>毛作保</t>
  </si>
  <si>
    <t>曹兆发</t>
  </si>
  <si>
    <t>顾永兵</t>
  </si>
  <si>
    <t>朱美妹</t>
  </si>
  <si>
    <t>姜涛</t>
  </si>
  <si>
    <t>王志龙</t>
  </si>
  <si>
    <t>张来根</t>
  </si>
  <si>
    <t>徐素珍</t>
  </si>
  <si>
    <t>许德英</t>
  </si>
  <si>
    <t>俞伟建</t>
  </si>
  <si>
    <t>金靖</t>
  </si>
  <si>
    <t>张莲琴</t>
  </si>
  <si>
    <t>韩阿娣</t>
  </si>
  <si>
    <t>庄红刚</t>
  </si>
  <si>
    <t>倪瑞祥</t>
  </si>
  <si>
    <t>陶冶</t>
  </si>
  <si>
    <t>包年伦</t>
  </si>
  <si>
    <t>蔡文娟</t>
  </si>
  <si>
    <t>沈小弟</t>
  </si>
  <si>
    <t>韩佳</t>
  </si>
  <si>
    <t>孙亚</t>
  </si>
  <si>
    <t>张济</t>
  </si>
  <si>
    <t>卢有权</t>
  </si>
  <si>
    <t>赵留轻</t>
  </si>
  <si>
    <t>施群</t>
  </si>
  <si>
    <t>陈阿荣</t>
  </si>
  <si>
    <t>史春良</t>
  </si>
  <si>
    <t xml:space="preserve">脑梗死 </t>
  </si>
  <si>
    <t>季炜</t>
  </si>
  <si>
    <t>吴明民</t>
  </si>
  <si>
    <t>王高宝</t>
  </si>
  <si>
    <t>吴招娣</t>
  </si>
  <si>
    <t>赵松林</t>
  </si>
  <si>
    <t>杜卫国</t>
  </si>
  <si>
    <t>陈必强</t>
  </si>
  <si>
    <t>郑颖</t>
  </si>
  <si>
    <t>吴海平</t>
  </si>
  <si>
    <t>陆荣镐</t>
  </si>
  <si>
    <t>周榕</t>
  </si>
  <si>
    <t>鲍惠忠</t>
  </si>
  <si>
    <t>孙明娣</t>
  </si>
  <si>
    <t>张荣盛</t>
  </si>
  <si>
    <t>樊雄武</t>
  </si>
  <si>
    <t>周水娥</t>
  </si>
  <si>
    <t>李俊</t>
  </si>
  <si>
    <t>潘祝华</t>
  </si>
  <si>
    <t>李子月</t>
  </si>
  <si>
    <t>董建雷</t>
  </si>
  <si>
    <t>朱慧琴</t>
  </si>
  <si>
    <t>沈史法</t>
  </si>
  <si>
    <t>秦金女</t>
  </si>
  <si>
    <t>代士勤</t>
  </si>
  <si>
    <t>周磊</t>
  </si>
  <si>
    <t>李西芝</t>
  </si>
  <si>
    <t>栾慧丽</t>
  </si>
  <si>
    <t>王洪明</t>
  </si>
  <si>
    <t>严年成</t>
  </si>
  <si>
    <t>任俊峰</t>
  </si>
  <si>
    <t>骆士雄</t>
  </si>
  <si>
    <t>於仕江</t>
  </si>
  <si>
    <t>杨斌斌</t>
  </si>
  <si>
    <t>龚妙娣</t>
  </si>
  <si>
    <t>倪菊香</t>
  </si>
  <si>
    <t>陈碧云</t>
  </si>
  <si>
    <t>镜像</t>
  </si>
  <si>
    <t>手套</t>
  </si>
  <si>
    <t>治疗方法</t>
  </si>
  <si>
    <t>1=MT</t>
  </si>
  <si>
    <t>2=手套</t>
  </si>
  <si>
    <t>联合方法</t>
  </si>
  <si>
    <t>1=有</t>
  </si>
  <si>
    <t>2=无</t>
  </si>
  <si>
    <t>A常规组</t>
  </si>
  <si>
    <t>B手套</t>
  </si>
  <si>
    <t>C镜像</t>
  </si>
  <si>
    <t>D联合</t>
  </si>
  <si>
    <t>有</t>
  </si>
  <si>
    <t>无</t>
  </si>
  <si>
    <t>4D（1，1）</t>
  </si>
  <si>
    <t>3C（1,2）</t>
  </si>
  <si>
    <t xml:space="preserve">无 </t>
  </si>
  <si>
    <t>2B （2,1）</t>
  </si>
  <si>
    <t>1A（2,2）</t>
  </si>
  <si>
    <t>百分位数</t>
  </si>
  <si>
    <t>柯尔莫戈洛夫-斯米诺夫(V)a</t>
  </si>
  <si>
    <t>夏皮洛-威尔克</t>
  </si>
  <si>
    <t>统计</t>
  </si>
  <si>
    <t>自由度</t>
  </si>
  <si>
    <t>显著性</t>
  </si>
  <si>
    <t>加权平均（定义 1）</t>
  </si>
  <si>
    <t>.</t>
  </si>
  <si>
    <t>.200*</t>
  </si>
  <si>
    <t xml:space="preserve"> </t>
  </si>
  <si>
    <t>当数据量小于等于50个时，我们可以查看夏皮洛-威尔克检验结果，当数据量大于50个时，我们查看柯尔莫戈洛夫-斯米诺夫检验结果。</t>
  </si>
  <si>
    <t>* 这是真显著性的下限。</t>
  </si>
  <si>
    <t>a 里利氏显著性修正</t>
  </si>
  <si>
    <t>平均值</t>
  </si>
  <si>
    <t>标准偏差</t>
  </si>
  <si>
    <t>源</t>
  </si>
  <si>
    <t>因变量</t>
  </si>
  <si>
    <t>III 类平方和</t>
  </si>
  <si>
    <t>均方</t>
  </si>
  <si>
    <t>F</t>
  </si>
  <si>
    <t>偏 Eta 平方</t>
  </si>
  <si>
    <t>主体间效应</t>
  </si>
  <si>
    <t>总计</t>
  </si>
  <si>
    <t>镜像 * 手套</t>
  </si>
  <si>
    <t>个案数</t>
  </si>
  <si>
    <t>标准 偏差</t>
  </si>
  <si>
    <t>标准 错误</t>
  </si>
  <si>
    <t>平均值的 95% 置信区间</t>
  </si>
  <si>
    <t>最小值</t>
  </si>
  <si>
    <t>最大值</t>
  </si>
  <si>
    <t>下限</t>
  </si>
  <si>
    <t>上限</t>
  </si>
  <si>
    <t>模型</t>
  </si>
  <si>
    <t>固定效应</t>
  </si>
  <si>
    <t>随机效应</t>
  </si>
  <si>
    <t>治疗前</t>
  </si>
  <si>
    <t>治疗后</t>
  </si>
  <si>
    <t>7.90±6.16</t>
  </si>
  <si>
    <t>14.10±9.43</t>
  </si>
  <si>
    <t>9.15±6.83</t>
  </si>
  <si>
    <t>14.85±9.80</t>
  </si>
  <si>
    <t>9.85±9.09</t>
  </si>
  <si>
    <t>16.65±9.87</t>
  </si>
  <si>
    <t>12.00±9.10</t>
  </si>
  <si>
    <t>22.25±9.72</t>
  </si>
  <si>
    <t>警告：成分间方差为负。在计算此随机效应测量时，会将其替换为 0.0。</t>
  </si>
  <si>
    <t>姓名</t>
  </si>
  <si>
    <t>fNIRS初</t>
  </si>
  <si>
    <t>fNIRS末</t>
  </si>
  <si>
    <t>田文玉</t>
  </si>
  <si>
    <t>脑区</t>
  </si>
  <si>
    <t>评定时间/统计指标</t>
  </si>
  <si>
    <t>分组</t>
  </si>
  <si>
    <t>对照组</t>
  </si>
  <si>
    <t>手套组</t>
  </si>
  <si>
    <t>镜像组</t>
  </si>
  <si>
    <t>联合组</t>
  </si>
  <si>
    <t>PFC_L</t>
  </si>
  <si>
    <t>3.76±25.97</t>
  </si>
  <si>
    <t>3.05±13.96</t>
  </si>
  <si>
    <t>13.45±15.24</t>
  </si>
  <si>
    <t>14.70±17.76</t>
  </si>
  <si>
    <r>
      <rPr>
        <sz val="10"/>
        <color theme="1"/>
        <rFont val="宋体"/>
        <charset val="134"/>
      </rPr>
      <t>-9.7255554(-14,01)</t>
    </r>
    <r>
      <rPr>
        <vertAlign val="superscript"/>
        <sz val="10"/>
        <color theme="1"/>
        <rFont val="Times New Roman"/>
        <charset val="134"/>
      </rPr>
      <t>a</t>
    </r>
  </si>
  <si>
    <r>
      <rPr>
        <sz val="10"/>
        <color theme="1"/>
        <rFont val="宋体"/>
        <charset val="134"/>
      </rPr>
      <t>2.5276327(-24,12)</t>
    </r>
    <r>
      <rPr>
        <vertAlign val="superscript"/>
        <sz val="10"/>
        <color theme="1"/>
        <rFont val="Times New Roman"/>
        <charset val="134"/>
      </rPr>
      <t>a</t>
    </r>
  </si>
  <si>
    <r>
      <rPr>
        <sz val="10"/>
        <color theme="1"/>
        <rFont val="宋体"/>
        <charset val="134"/>
      </rPr>
      <t>4.5814982(-08,15)</t>
    </r>
    <r>
      <rPr>
        <vertAlign val="superscript"/>
        <sz val="10"/>
        <color theme="1"/>
        <rFont val="Times New Roman"/>
        <charset val="134"/>
      </rPr>
      <t>a</t>
    </r>
  </si>
  <si>
    <r>
      <rPr>
        <sz val="10"/>
        <color theme="1"/>
        <rFont val="宋体"/>
        <charset val="134"/>
      </rPr>
      <t>12.8399222(01,28)</t>
    </r>
    <r>
      <rPr>
        <vertAlign val="superscript"/>
        <sz val="10"/>
        <color theme="1"/>
        <rFont val="Times New Roman"/>
        <charset val="134"/>
      </rPr>
      <t>a</t>
    </r>
  </si>
  <si>
    <t>PFC_R</t>
  </si>
  <si>
    <t>5.95±9.29</t>
  </si>
  <si>
    <t>10.48±9.82</t>
  </si>
  <si>
    <t>9.14±18.03</t>
  </si>
  <si>
    <t>22.23±20.26</t>
  </si>
  <si>
    <t>2.57±16.21</t>
  </si>
  <si>
    <t>3.72±5.90</t>
  </si>
  <si>
    <t>3.00±15.65</t>
  </si>
  <si>
    <t>19.05±31.36</t>
  </si>
  <si>
    <t>DLPFC_L</t>
  </si>
  <si>
    <t>13.9518247(05,44)</t>
  </si>
  <si>
    <t>3.7828863(-05,12)</t>
  </si>
  <si>
    <t>2.7719773(-04,06)</t>
  </si>
  <si>
    <t>5.6782297(-12,18)</t>
  </si>
  <si>
    <t>SAC_L</t>
  </si>
  <si>
    <t>1.044(-01,03)</t>
  </si>
  <si>
    <t>4.9934(-07,16)</t>
  </si>
  <si>
    <t>7.93165(03,20)</t>
  </si>
  <si>
    <t>5.54455(-13,31)</t>
  </si>
  <si>
    <t>SAC_R</t>
  </si>
  <si>
    <r>
      <rPr>
        <sz val="10"/>
        <color theme="1"/>
        <rFont val="宋体"/>
        <charset val="134"/>
      </rPr>
      <t>-1.4163556(-11,01)</t>
    </r>
    <r>
      <rPr>
        <vertAlign val="superscript"/>
        <sz val="10"/>
        <color theme="1"/>
        <rFont val="Times New Roman"/>
        <charset val="134"/>
      </rPr>
      <t>ab</t>
    </r>
  </si>
  <si>
    <r>
      <rPr>
        <sz val="10"/>
        <color theme="1"/>
        <rFont val="宋体"/>
        <charset val="134"/>
      </rPr>
      <t>8.3160637(02,12)</t>
    </r>
    <r>
      <rPr>
        <vertAlign val="superscript"/>
        <sz val="10"/>
        <color theme="1"/>
        <rFont val="Times New Roman"/>
        <charset val="134"/>
      </rPr>
      <t>a</t>
    </r>
  </si>
  <si>
    <r>
      <rPr>
        <sz val="10"/>
        <color theme="1"/>
        <rFont val="宋体"/>
        <charset val="134"/>
      </rPr>
      <t>8.2844044(-04,27)</t>
    </r>
    <r>
      <rPr>
        <vertAlign val="superscript"/>
        <sz val="10"/>
        <color theme="1"/>
        <rFont val="Times New Roman"/>
        <charset val="134"/>
      </rPr>
      <t>a</t>
    </r>
  </si>
  <si>
    <r>
      <rPr>
        <sz val="10"/>
        <color theme="1"/>
        <rFont val="宋体"/>
        <charset val="134"/>
      </rPr>
      <t>12.151563(02,50</t>
    </r>
    <r>
      <rPr>
        <vertAlign val="superscript"/>
        <sz val="10"/>
        <color theme="1"/>
        <rFont val="Times New Roman"/>
        <charset val="134"/>
      </rPr>
      <t>a</t>
    </r>
  </si>
  <si>
    <r>
      <rPr>
        <sz val="8"/>
        <color theme="1"/>
        <rFont val="宋体"/>
        <charset val="134"/>
      </rPr>
      <t>-5.92±12.59</t>
    </r>
    <r>
      <rPr>
        <vertAlign val="superscript"/>
        <sz val="8"/>
        <color theme="1"/>
        <rFont val="Times New Roman"/>
        <charset val="134"/>
      </rPr>
      <t>a</t>
    </r>
  </si>
  <si>
    <r>
      <rPr>
        <sz val="8"/>
        <color theme="1"/>
        <rFont val="宋体"/>
        <charset val="134"/>
      </rPr>
      <t>8.82±9.56</t>
    </r>
    <r>
      <rPr>
        <vertAlign val="superscript"/>
        <sz val="8"/>
        <color theme="1"/>
        <rFont val="Times New Roman"/>
        <charset val="134"/>
      </rPr>
      <t>a</t>
    </r>
  </si>
  <si>
    <r>
      <rPr>
        <sz val="8"/>
        <color theme="1"/>
        <rFont val="宋体"/>
        <charset val="134"/>
      </rPr>
      <t>10.05±7.26</t>
    </r>
    <r>
      <rPr>
        <vertAlign val="superscript"/>
        <sz val="8"/>
        <color theme="1"/>
        <rFont val="Times New Roman"/>
        <charset val="134"/>
      </rPr>
      <t>a</t>
    </r>
  </si>
  <si>
    <r>
      <rPr>
        <sz val="8"/>
        <color theme="1"/>
        <rFont val="宋体"/>
        <charset val="134"/>
      </rPr>
      <t>14.78±17.74</t>
    </r>
    <r>
      <rPr>
        <vertAlign val="superscript"/>
        <sz val="8"/>
        <color theme="1"/>
        <rFont val="Times New Roman"/>
        <charset val="134"/>
      </rPr>
      <t>a</t>
    </r>
  </si>
  <si>
    <t>DLPFC_R</t>
  </si>
  <si>
    <t>1.03±14.45</t>
  </si>
  <si>
    <t>7.50±16.71</t>
  </si>
  <si>
    <t>7.03±8.01</t>
  </si>
  <si>
    <t>14.10±32.08</t>
  </si>
  <si>
    <t>Z</t>
  </si>
  <si>
    <t>7.48±14.77</t>
  </si>
  <si>
    <t>3.91±5.43</t>
  </si>
  <si>
    <t>0.851179(-08,03)</t>
  </si>
  <si>
    <t>6.562405(00,10)</t>
  </si>
  <si>
    <t>5.5054763(-05,11)</t>
  </si>
  <si>
    <t>17.7878077(-02,30)</t>
  </si>
  <si>
    <t>P</t>
  </si>
  <si>
    <t>6.71±13.91</t>
  </si>
  <si>
    <t>9.60±14.13</t>
  </si>
  <si>
    <t>SMC_L</t>
  </si>
  <si>
    <t>9.95±18.06</t>
  </si>
  <si>
    <t>5.61±12.48</t>
  </si>
  <si>
    <t>6.39±8.39</t>
  </si>
  <si>
    <t>12.58±24.32</t>
  </si>
  <si>
    <t>7.69±9.33</t>
  </si>
  <si>
    <t>16.70±24.09</t>
  </si>
  <si>
    <t>3.67±15.68</t>
  </si>
  <si>
    <r>
      <rPr>
        <sz val="10"/>
        <color theme="1"/>
        <rFont val="宋体"/>
        <charset val="134"/>
      </rPr>
      <t>-6.82±5.89</t>
    </r>
    <r>
      <rPr>
        <vertAlign val="superscript"/>
        <sz val="10"/>
        <color theme="1"/>
        <rFont val="Times New Roman"/>
        <charset val="134"/>
      </rPr>
      <t>a</t>
    </r>
  </si>
  <si>
    <r>
      <rPr>
        <sz val="10"/>
        <color theme="1"/>
        <rFont val="宋体"/>
        <charset val="134"/>
      </rPr>
      <t>9.23±11.33</t>
    </r>
    <r>
      <rPr>
        <vertAlign val="superscript"/>
        <sz val="10"/>
        <color theme="1"/>
        <rFont val="Times New Roman"/>
        <charset val="134"/>
      </rPr>
      <t>a</t>
    </r>
  </si>
  <si>
    <r>
      <rPr>
        <sz val="10"/>
        <color theme="1"/>
        <rFont val="宋体"/>
        <charset val="134"/>
      </rPr>
      <t>6.57±10.39</t>
    </r>
    <r>
      <rPr>
        <vertAlign val="superscript"/>
        <sz val="10"/>
        <color theme="1"/>
        <rFont val="Times New Roman"/>
        <charset val="134"/>
      </rPr>
      <t>a</t>
    </r>
  </si>
  <si>
    <r>
      <rPr>
        <sz val="10"/>
        <color theme="1"/>
        <rFont val="宋体"/>
        <charset val="134"/>
      </rPr>
      <t>17.16±19.25</t>
    </r>
    <r>
      <rPr>
        <vertAlign val="superscript"/>
        <sz val="10"/>
        <color theme="1"/>
        <rFont val="Times New Roman"/>
        <charset val="134"/>
      </rPr>
      <t>a</t>
    </r>
  </si>
  <si>
    <t>9.83±29.53</t>
  </si>
  <si>
    <t>SMC_R</t>
  </si>
  <si>
    <t>4.7880622(02,05)</t>
  </si>
  <si>
    <t>12.8463081(06,24)</t>
  </si>
  <si>
    <t>5.73004(02,10)</t>
  </si>
  <si>
    <t>13.8791134(-11,32)</t>
  </si>
  <si>
    <t>t</t>
  </si>
  <si>
    <t>3.31±8.76</t>
  </si>
  <si>
    <t>11.70±10.13</t>
  </si>
  <si>
    <t>5.99±11.25</t>
  </si>
  <si>
    <t>16.48±26.09</t>
  </si>
  <si>
    <r>
      <rPr>
        <sz val="10"/>
        <color theme="1"/>
        <rFont val="宋体"/>
        <charset val="134"/>
      </rPr>
      <t>-5.92±12.59</t>
    </r>
    <r>
      <rPr>
        <vertAlign val="superscript"/>
        <sz val="10"/>
        <color theme="1"/>
        <rFont val="Times New Roman"/>
        <charset val="134"/>
      </rPr>
      <t>a</t>
    </r>
  </si>
  <si>
    <r>
      <rPr>
        <sz val="10"/>
        <color theme="1"/>
        <rFont val="宋体"/>
        <charset val="134"/>
      </rPr>
      <t>8.82±9.56</t>
    </r>
    <r>
      <rPr>
        <vertAlign val="superscript"/>
        <sz val="10"/>
        <color theme="1"/>
        <rFont val="Times New Roman"/>
        <charset val="134"/>
      </rPr>
      <t>a</t>
    </r>
  </si>
  <si>
    <r>
      <rPr>
        <sz val="10"/>
        <color theme="1"/>
        <rFont val="宋体"/>
        <charset val="134"/>
      </rPr>
      <t>10.05±7.26</t>
    </r>
    <r>
      <rPr>
        <vertAlign val="superscript"/>
        <sz val="10"/>
        <color theme="1"/>
        <rFont val="Times New Roman"/>
        <charset val="134"/>
      </rPr>
      <t>a</t>
    </r>
  </si>
  <si>
    <r>
      <rPr>
        <sz val="10"/>
        <color theme="1"/>
        <rFont val="宋体"/>
        <charset val="134"/>
      </rPr>
      <t>14.78±17.74</t>
    </r>
    <r>
      <rPr>
        <vertAlign val="superscript"/>
        <sz val="10"/>
        <color theme="1"/>
        <rFont val="Times New Roman"/>
        <charset val="134"/>
      </rPr>
      <t>a</t>
    </r>
  </si>
  <si>
    <t>评定时间</t>
  </si>
  <si>
    <r>
      <rPr>
        <sz val="8"/>
        <color theme="1"/>
        <rFont val="宋体"/>
        <charset val="134"/>
      </rPr>
      <t>-9.7255554(-14,01)</t>
    </r>
    <r>
      <rPr>
        <vertAlign val="superscript"/>
        <sz val="8"/>
        <color theme="1"/>
        <rFont val="Times New Roman"/>
        <charset val="134"/>
      </rPr>
      <t>a</t>
    </r>
  </si>
  <si>
    <r>
      <rPr>
        <sz val="8"/>
        <color theme="1"/>
        <rFont val="宋体"/>
        <charset val="134"/>
      </rPr>
      <t>2.5276327(-24,12)</t>
    </r>
    <r>
      <rPr>
        <vertAlign val="superscript"/>
        <sz val="8"/>
        <color theme="1"/>
        <rFont val="Times New Roman"/>
        <charset val="134"/>
      </rPr>
      <t>a</t>
    </r>
  </si>
  <si>
    <r>
      <rPr>
        <sz val="8"/>
        <color theme="1"/>
        <rFont val="宋体"/>
        <charset val="134"/>
      </rPr>
      <t>4.5814982(-08,15)</t>
    </r>
    <r>
      <rPr>
        <vertAlign val="superscript"/>
        <sz val="8"/>
        <color theme="1"/>
        <rFont val="Times New Roman"/>
        <charset val="134"/>
      </rPr>
      <t>a</t>
    </r>
  </si>
  <si>
    <r>
      <rPr>
        <sz val="8"/>
        <color theme="1"/>
        <rFont val="宋体"/>
        <charset val="134"/>
      </rPr>
      <t>12.8399222(01,28)</t>
    </r>
    <r>
      <rPr>
        <vertAlign val="superscript"/>
        <sz val="8"/>
        <color theme="1"/>
        <rFont val="Times New Roman"/>
        <charset val="134"/>
      </rPr>
      <t>a</t>
    </r>
  </si>
  <si>
    <r>
      <rPr>
        <sz val="8"/>
        <color theme="1"/>
        <rFont val="宋体"/>
        <charset val="134"/>
      </rPr>
      <t>-1.4163556(-11,01)</t>
    </r>
    <r>
      <rPr>
        <vertAlign val="superscript"/>
        <sz val="8"/>
        <color theme="1"/>
        <rFont val="Times New Roman"/>
        <charset val="134"/>
      </rPr>
      <t>ab</t>
    </r>
  </si>
  <si>
    <r>
      <rPr>
        <sz val="8"/>
        <color theme="1"/>
        <rFont val="宋体"/>
        <charset val="134"/>
      </rPr>
      <t>-6.82±5.89</t>
    </r>
    <r>
      <rPr>
        <vertAlign val="superscript"/>
        <sz val="8"/>
        <color theme="1"/>
        <rFont val="Times New Roman"/>
        <charset val="134"/>
      </rPr>
      <t>a</t>
    </r>
  </si>
  <si>
    <r>
      <rPr>
        <sz val="8"/>
        <color theme="1"/>
        <rFont val="宋体"/>
        <charset val="134"/>
      </rPr>
      <t>8.3160637(02,12)</t>
    </r>
    <r>
      <rPr>
        <vertAlign val="superscript"/>
        <sz val="8"/>
        <color theme="1"/>
        <rFont val="Times New Roman"/>
        <charset val="134"/>
      </rPr>
      <t>a</t>
    </r>
  </si>
  <si>
    <r>
      <rPr>
        <sz val="8"/>
        <color theme="1"/>
        <rFont val="宋体"/>
        <charset val="134"/>
      </rPr>
      <t>9.23±11.33</t>
    </r>
    <r>
      <rPr>
        <vertAlign val="superscript"/>
        <sz val="8"/>
        <color theme="1"/>
        <rFont val="Times New Roman"/>
        <charset val="134"/>
      </rPr>
      <t>a</t>
    </r>
  </si>
  <si>
    <r>
      <rPr>
        <sz val="8"/>
        <color theme="1"/>
        <rFont val="宋体"/>
        <charset val="134"/>
      </rPr>
      <t>8.2844044(-04,27)</t>
    </r>
    <r>
      <rPr>
        <vertAlign val="superscript"/>
        <sz val="8"/>
        <color theme="1"/>
        <rFont val="Times New Roman"/>
        <charset val="134"/>
      </rPr>
      <t>a</t>
    </r>
  </si>
  <si>
    <r>
      <rPr>
        <sz val="8"/>
        <color theme="1"/>
        <rFont val="宋体"/>
        <charset val="134"/>
      </rPr>
      <t>6.57±10.39</t>
    </r>
    <r>
      <rPr>
        <vertAlign val="superscript"/>
        <sz val="8"/>
        <color theme="1"/>
        <rFont val="宋体"/>
        <charset val="134"/>
      </rPr>
      <t>a</t>
    </r>
  </si>
  <si>
    <r>
      <rPr>
        <sz val="8"/>
        <color theme="1"/>
        <rFont val="宋体"/>
        <charset val="134"/>
      </rPr>
      <t>12.151563(02,50</t>
    </r>
    <r>
      <rPr>
        <vertAlign val="superscript"/>
        <sz val="8"/>
        <color theme="1"/>
        <rFont val="Times New Roman"/>
        <charset val="134"/>
      </rPr>
      <t>a</t>
    </r>
  </si>
  <si>
    <r>
      <rPr>
        <sz val="8"/>
        <color theme="1"/>
        <rFont val="宋体"/>
        <charset val="134"/>
      </rPr>
      <t>17.16±19.25</t>
    </r>
    <r>
      <rPr>
        <vertAlign val="superscript"/>
        <sz val="8"/>
        <color theme="1"/>
        <rFont val="Times New Roman"/>
        <charset val="134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</si>
</sst>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40">
    <font>
      <sz val="11"/>
      <color theme="1"/>
      <name val="宋体"/>
      <charset val="134"/>
      <scheme val="minor"/>
    </font>
    <font>
      <sz val="8"/>
      <color theme="1"/>
      <name val="Times New Roman"/>
      <charset val="134"/>
    </font>
    <font>
      <sz val="8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sz val="11"/>
      <color rgb="FFFF0000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color rgb="FF00B0F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6"/>
      <name val="宋体"/>
      <charset val="134"/>
      <scheme val="minor"/>
    </font>
    <font>
      <sz val="11"/>
      <color theme="9"/>
      <name val="宋体"/>
      <charset val="134"/>
      <scheme val="minor"/>
    </font>
    <font>
      <sz val="11"/>
      <color rgb="FF00B050"/>
      <name val="宋体"/>
      <charset val="134"/>
      <scheme val="minor"/>
    </font>
    <font>
      <i/>
      <sz val="11"/>
      <color rgb="FF00B050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8"/>
      <color theme="1"/>
      <name val="Times New Roman"/>
      <charset val="134"/>
    </font>
    <font>
      <vertAlign val="superscript"/>
      <sz val="10"/>
      <color theme="1"/>
      <name val="Times New Roman"/>
      <charset val="134"/>
    </font>
    <font>
      <vertAlign val="superscript"/>
      <sz val="8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 diagonalDown="1">
      <left/>
      <right/>
      <top style="medium">
        <color auto="1"/>
      </top>
      <bottom/>
      <diagonal style="medium">
        <color auto="1"/>
      </diagonal>
    </border>
    <border>
      <left/>
      <right/>
      <top style="medium">
        <color auto="1"/>
      </top>
      <bottom/>
      <diagonal/>
    </border>
    <border diagonalDown="1">
      <left/>
      <right/>
      <top/>
      <bottom style="medium">
        <color auto="1"/>
      </bottom>
      <diagonal style="medium">
        <color auto="1"/>
      </diagonal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2" applyNumberFormat="0" applyAlignment="0" applyProtection="0">
      <alignment vertical="center"/>
    </xf>
    <xf numFmtId="0" fontId="27" fillId="5" borderId="13" applyNumberFormat="0" applyAlignment="0" applyProtection="0">
      <alignment vertical="center"/>
    </xf>
    <xf numFmtId="0" fontId="28" fillId="5" borderId="12" applyNumberFormat="0" applyAlignment="0" applyProtection="0">
      <alignment vertical="center"/>
    </xf>
    <xf numFmtId="0" fontId="29" fillId="6" borderId="14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2" xfId="0" applyFont="1" applyBorder="1" applyAlignment="1">
      <alignment horizontal="justify" vertical="center"/>
    </xf>
    <xf numFmtId="0" fontId="3" fillId="0" borderId="3" xfId="0" applyFont="1" applyBorder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4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3" fillId="0" borderId="5" xfId="0" applyFont="1" applyBorder="1" applyAlignment="1">
      <alignment horizontal="justify" vertical="center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justify" vertical="center"/>
    </xf>
    <xf numFmtId="0" fontId="3" fillId="0" borderId="0" xfId="0" applyFont="1" applyBorder="1" applyAlignment="1">
      <alignment horizontal="justify"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center" vertical="center"/>
    </xf>
    <xf numFmtId="11" fontId="0" fillId="0" borderId="0" xfId="0" applyNumberForma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76" fontId="5" fillId="0" borderId="0" xfId="0" applyNumberFormat="1" applyFont="1" applyFill="1" applyAlignment="1">
      <alignment vertical="center"/>
    </xf>
    <xf numFmtId="0" fontId="6" fillId="0" borderId="0" xfId="0" applyFont="1">
      <alignment vertical="center"/>
    </xf>
    <xf numFmtId="0" fontId="7" fillId="0" borderId="0" xfId="0" applyFont="1" applyFill="1" applyAlignment="1">
      <alignment vertical="center"/>
    </xf>
    <xf numFmtId="177" fontId="0" fillId="0" borderId="0" xfId="0" applyNumberFormat="1">
      <alignment vertical="center"/>
    </xf>
    <xf numFmtId="177" fontId="8" fillId="0" borderId="0" xfId="0" applyNumberFormat="1" applyFont="1">
      <alignment vertical="center"/>
    </xf>
    <xf numFmtId="176" fontId="9" fillId="0" borderId="0" xfId="0" applyNumberFormat="1" applyFont="1" applyFill="1" applyAlignment="1">
      <alignment vertical="center"/>
    </xf>
    <xf numFmtId="177" fontId="5" fillId="0" borderId="0" xfId="0" applyNumberFormat="1" applyFont="1">
      <alignment vertical="center"/>
    </xf>
    <xf numFmtId="0" fontId="10" fillId="0" borderId="0" xfId="0" applyFont="1">
      <alignment vertical="center"/>
    </xf>
    <xf numFmtId="0" fontId="11" fillId="0" borderId="0" xfId="0" applyFont="1" applyFill="1" applyAlignment="1">
      <alignment vertical="center"/>
    </xf>
    <xf numFmtId="0" fontId="6" fillId="2" borderId="0" xfId="0" applyFont="1" applyFill="1">
      <alignment vertical="center"/>
    </xf>
    <xf numFmtId="0" fontId="12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13" fillId="0" borderId="0" xfId="0" applyFont="1">
      <alignment vertical="center"/>
    </xf>
    <xf numFmtId="177" fontId="14" fillId="0" borderId="0" xfId="0" applyNumberFormat="1" applyFont="1">
      <alignment vertical="center"/>
    </xf>
    <xf numFmtId="177" fontId="7" fillId="0" borderId="0" xfId="0" applyNumberFormat="1" applyFont="1">
      <alignment vertical="center"/>
    </xf>
    <xf numFmtId="0" fontId="14" fillId="0" borderId="0" xfId="0" applyFont="1">
      <alignment vertical="center"/>
    </xf>
    <xf numFmtId="0" fontId="7" fillId="0" borderId="0" xfId="0" applyFont="1">
      <alignment vertical="center"/>
    </xf>
    <xf numFmtId="0" fontId="15" fillId="0" borderId="0" xfId="0" applyFont="1" applyFill="1">
      <alignment vertical="center"/>
    </xf>
    <xf numFmtId="0" fontId="16" fillId="0" borderId="0" xfId="0" applyFont="1">
      <alignment vertical="center"/>
    </xf>
    <xf numFmtId="0" fontId="17" fillId="0" borderId="0" xfId="0" applyFont="1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Fill="1">
      <alignment vertical="center"/>
    </xf>
    <xf numFmtId="0" fontId="5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176" fontId="0" fillId="2" borderId="0" xfId="0" applyNumberFormat="1" applyFill="1" applyAlignment="1">
      <alignment vertical="center"/>
    </xf>
    <xf numFmtId="176" fontId="5" fillId="2" borderId="0" xfId="0" applyNumberFormat="1" applyFont="1" applyFill="1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4"/>
  <sheetViews>
    <sheetView tabSelected="1" workbookViewId="0">
      <selection activeCell="I15" sqref="I15"/>
    </sheetView>
  </sheetViews>
  <sheetFormatPr defaultColWidth="8.88888888888889" defaultRowHeight="14.4"/>
  <sheetData>
    <row r="1" spans="1:23">
      <c r="A1" s="23" t="s">
        <v>0</v>
      </c>
      <c r="B1" s="23"/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/>
      <c r="M1" s="23" t="s">
        <v>10</v>
      </c>
      <c r="N1" s="25" t="s">
        <v>11</v>
      </c>
      <c r="O1" s="23" t="s">
        <v>12</v>
      </c>
      <c r="P1" s="23"/>
      <c r="Q1" s="23" t="s">
        <v>13</v>
      </c>
      <c r="R1" s="25" t="s">
        <v>14</v>
      </c>
      <c r="S1" s="23" t="s">
        <v>15</v>
      </c>
      <c r="T1" s="23"/>
      <c r="U1" s="23" t="s">
        <v>16</v>
      </c>
      <c r="V1" s="23" t="s">
        <v>17</v>
      </c>
      <c r="W1" s="23" t="s">
        <v>18</v>
      </c>
    </row>
    <row r="2" spans="1:23">
      <c r="A2" s="23">
        <v>4</v>
      </c>
      <c r="B2" s="26" t="s">
        <v>19</v>
      </c>
      <c r="C2" s="23" t="s">
        <v>20</v>
      </c>
      <c r="D2" s="23">
        <v>69</v>
      </c>
      <c r="E2" s="23">
        <v>41</v>
      </c>
      <c r="F2" s="23" t="s">
        <v>21</v>
      </c>
      <c r="G2" s="23" t="s">
        <v>22</v>
      </c>
      <c r="H2" s="23">
        <v>28</v>
      </c>
      <c r="I2" s="23">
        <v>27</v>
      </c>
      <c r="J2" s="23">
        <v>28</v>
      </c>
      <c r="K2" s="23">
        <f t="shared" ref="K2:K65" si="0">J2-I2</f>
        <v>1</v>
      </c>
      <c r="L2" s="23"/>
      <c r="M2" s="23">
        <v>9</v>
      </c>
      <c r="N2" s="25">
        <v>18</v>
      </c>
      <c r="O2" s="23">
        <f t="shared" ref="O2:O65" si="1">N2-M2</f>
        <v>9</v>
      </c>
      <c r="P2" s="23"/>
      <c r="Q2" s="23">
        <v>10</v>
      </c>
      <c r="R2" s="25">
        <v>30</v>
      </c>
      <c r="S2" s="23">
        <f t="shared" ref="S2:S65" si="2">R2-Q2</f>
        <v>20</v>
      </c>
      <c r="T2" s="23"/>
      <c r="U2" s="23">
        <v>45</v>
      </c>
      <c r="V2" s="23">
        <v>65</v>
      </c>
      <c r="W2" s="23">
        <f t="shared" ref="W2:W65" si="3">V2-U2</f>
        <v>20</v>
      </c>
    </row>
    <row r="3" spans="1:23">
      <c r="A3" s="23">
        <v>2</v>
      </c>
      <c r="B3" s="26" t="s">
        <v>23</v>
      </c>
      <c r="C3" s="23" t="s">
        <v>20</v>
      </c>
      <c r="D3" s="23">
        <v>42</v>
      </c>
      <c r="E3" s="23">
        <v>109</v>
      </c>
      <c r="F3" s="23" t="s">
        <v>24</v>
      </c>
      <c r="G3" s="23" t="s">
        <v>25</v>
      </c>
      <c r="H3" s="23">
        <v>28</v>
      </c>
      <c r="I3" s="23">
        <v>6</v>
      </c>
      <c r="J3" s="23">
        <v>7</v>
      </c>
      <c r="K3" s="23">
        <f t="shared" si="0"/>
        <v>1</v>
      </c>
      <c r="L3" s="23"/>
      <c r="M3" s="23">
        <v>2</v>
      </c>
      <c r="N3" s="25">
        <v>6</v>
      </c>
      <c r="O3" s="23">
        <f t="shared" si="1"/>
        <v>4</v>
      </c>
      <c r="P3" s="23"/>
      <c r="Q3" s="23">
        <v>0</v>
      </c>
      <c r="R3" s="25">
        <v>5</v>
      </c>
      <c r="S3" s="23">
        <f t="shared" si="2"/>
        <v>5</v>
      </c>
      <c r="T3" s="23"/>
      <c r="U3" s="23">
        <v>45</v>
      </c>
      <c r="V3" s="23">
        <v>50</v>
      </c>
      <c r="W3" s="23">
        <f t="shared" si="3"/>
        <v>5</v>
      </c>
    </row>
    <row r="4" spans="1:23">
      <c r="A4" s="30">
        <v>4</v>
      </c>
      <c r="B4" s="26" t="s">
        <v>26</v>
      </c>
      <c r="C4" s="30" t="s">
        <v>20</v>
      </c>
      <c r="D4" s="30">
        <v>71</v>
      </c>
      <c r="E4" s="30">
        <v>12</v>
      </c>
      <c r="F4" s="30" t="s">
        <v>24</v>
      </c>
      <c r="G4" s="30" t="s">
        <v>22</v>
      </c>
      <c r="H4" s="30">
        <v>22</v>
      </c>
      <c r="I4" s="30">
        <v>8</v>
      </c>
      <c r="J4" s="30">
        <v>12</v>
      </c>
      <c r="K4" s="23">
        <f t="shared" si="0"/>
        <v>4</v>
      </c>
      <c r="L4" s="30"/>
      <c r="M4" s="30">
        <v>2</v>
      </c>
      <c r="N4" s="30">
        <v>11</v>
      </c>
      <c r="O4" s="23">
        <f t="shared" si="1"/>
        <v>9</v>
      </c>
      <c r="P4" s="30"/>
      <c r="Q4" s="30">
        <v>6</v>
      </c>
      <c r="R4" s="30">
        <v>18</v>
      </c>
      <c r="S4" s="23">
        <f t="shared" si="2"/>
        <v>12</v>
      </c>
      <c r="T4" s="30"/>
      <c r="U4" s="30">
        <v>30</v>
      </c>
      <c r="V4" s="30">
        <v>45</v>
      </c>
      <c r="W4" s="23">
        <f t="shared" si="3"/>
        <v>15</v>
      </c>
    </row>
    <row r="5" spans="1:23">
      <c r="A5" s="30">
        <v>4</v>
      </c>
      <c r="B5" s="32" t="s">
        <v>27</v>
      </c>
      <c r="C5" s="30" t="s">
        <v>28</v>
      </c>
      <c r="D5" s="30">
        <v>68</v>
      </c>
      <c r="E5" s="30">
        <v>127</v>
      </c>
      <c r="F5" s="30" t="s">
        <v>24</v>
      </c>
      <c r="G5" s="30" t="s">
        <v>22</v>
      </c>
      <c r="H5" s="30">
        <v>21</v>
      </c>
      <c r="I5" s="30">
        <v>9</v>
      </c>
      <c r="J5" s="30">
        <v>11</v>
      </c>
      <c r="K5" s="23">
        <f t="shared" si="0"/>
        <v>2</v>
      </c>
      <c r="L5" s="30"/>
      <c r="M5" s="30">
        <v>1</v>
      </c>
      <c r="N5" s="30">
        <v>15</v>
      </c>
      <c r="O5" s="23">
        <f t="shared" si="1"/>
        <v>14</v>
      </c>
      <c r="P5" s="30"/>
      <c r="Q5" s="30">
        <v>2</v>
      </c>
      <c r="R5" s="30">
        <v>12</v>
      </c>
      <c r="S5" s="23">
        <f t="shared" si="2"/>
        <v>10</v>
      </c>
      <c r="T5" s="30"/>
      <c r="U5" s="30">
        <v>60</v>
      </c>
      <c r="V5" s="30">
        <v>60</v>
      </c>
      <c r="W5" s="23">
        <f t="shared" si="3"/>
        <v>0</v>
      </c>
    </row>
    <row r="6" spans="1:23">
      <c r="A6" s="23">
        <v>3</v>
      </c>
      <c r="B6" s="32" t="s">
        <v>29</v>
      </c>
      <c r="C6" s="23" t="s">
        <v>28</v>
      </c>
      <c r="D6" s="23">
        <v>62</v>
      </c>
      <c r="E6" s="23">
        <v>22</v>
      </c>
      <c r="F6" s="23" t="s">
        <v>21</v>
      </c>
      <c r="G6" s="23" t="s">
        <v>22</v>
      </c>
      <c r="H6" s="23">
        <v>24</v>
      </c>
      <c r="I6" s="23">
        <v>9</v>
      </c>
      <c r="J6" s="23">
        <v>10</v>
      </c>
      <c r="K6" s="23">
        <f t="shared" si="0"/>
        <v>1</v>
      </c>
      <c r="L6" s="23"/>
      <c r="M6" s="23">
        <v>0</v>
      </c>
      <c r="N6" s="25">
        <v>4</v>
      </c>
      <c r="O6" s="23">
        <f t="shared" si="1"/>
        <v>4</v>
      </c>
      <c r="P6" s="23"/>
      <c r="Q6" s="23">
        <v>1</v>
      </c>
      <c r="R6" s="25">
        <v>3</v>
      </c>
      <c r="S6" s="23">
        <f t="shared" si="2"/>
        <v>2</v>
      </c>
      <c r="T6" s="23"/>
      <c r="U6" s="23">
        <v>40</v>
      </c>
      <c r="V6" s="23">
        <v>65</v>
      </c>
      <c r="W6" s="23">
        <f t="shared" si="3"/>
        <v>25</v>
      </c>
    </row>
    <row r="7" spans="1:23">
      <c r="A7" s="23">
        <v>1</v>
      </c>
      <c r="B7" s="34" t="s">
        <v>30</v>
      </c>
      <c r="C7" s="23" t="s">
        <v>20</v>
      </c>
      <c r="D7" s="23">
        <v>51</v>
      </c>
      <c r="E7" s="23">
        <v>51</v>
      </c>
      <c r="F7" s="23" t="s">
        <v>21</v>
      </c>
      <c r="G7" s="23" t="s">
        <v>25</v>
      </c>
      <c r="H7" s="23">
        <v>27</v>
      </c>
      <c r="I7" s="23">
        <v>20</v>
      </c>
      <c r="J7" s="23">
        <v>22</v>
      </c>
      <c r="K7" s="23">
        <f t="shared" si="0"/>
        <v>2</v>
      </c>
      <c r="L7" s="23"/>
      <c r="M7" s="23">
        <v>2</v>
      </c>
      <c r="N7" s="25">
        <v>6</v>
      </c>
      <c r="O7" s="23">
        <f t="shared" si="1"/>
        <v>4</v>
      </c>
      <c r="P7" s="23"/>
      <c r="Q7" s="23">
        <v>11</v>
      </c>
      <c r="R7" s="25">
        <v>14</v>
      </c>
      <c r="S7" s="23">
        <f t="shared" si="2"/>
        <v>3</v>
      </c>
      <c r="T7" s="23"/>
      <c r="U7" s="23">
        <v>50</v>
      </c>
      <c r="V7" s="23">
        <v>55</v>
      </c>
      <c r="W7" s="23">
        <f t="shared" si="3"/>
        <v>5</v>
      </c>
    </row>
    <row r="8" spans="1:23">
      <c r="A8" s="30">
        <v>3</v>
      </c>
      <c r="B8" s="26" t="s">
        <v>31</v>
      </c>
      <c r="C8" s="30" t="s">
        <v>20</v>
      </c>
      <c r="D8" s="30">
        <v>70</v>
      </c>
      <c r="E8" s="30">
        <v>118</v>
      </c>
      <c r="F8" s="30" t="s">
        <v>21</v>
      </c>
      <c r="G8" s="30" t="s">
        <v>22</v>
      </c>
      <c r="H8" s="30">
        <v>25</v>
      </c>
      <c r="I8" s="30">
        <v>28</v>
      </c>
      <c r="J8" s="30">
        <v>28</v>
      </c>
      <c r="K8" s="23">
        <f t="shared" si="0"/>
        <v>0</v>
      </c>
      <c r="L8" s="30"/>
      <c r="M8" s="30">
        <v>17</v>
      </c>
      <c r="N8" s="30">
        <v>27</v>
      </c>
      <c r="O8" s="23">
        <f t="shared" si="1"/>
        <v>10</v>
      </c>
      <c r="P8" s="30"/>
      <c r="Q8" s="30">
        <v>30</v>
      </c>
      <c r="R8" s="30">
        <v>48</v>
      </c>
      <c r="S8" s="23">
        <f t="shared" si="2"/>
        <v>18</v>
      </c>
      <c r="T8" s="30"/>
      <c r="U8" s="30">
        <v>80</v>
      </c>
      <c r="V8" s="30">
        <v>85</v>
      </c>
      <c r="W8" s="23">
        <f t="shared" si="3"/>
        <v>5</v>
      </c>
    </row>
    <row r="9" spans="1:23">
      <c r="A9" s="23">
        <v>2</v>
      </c>
      <c r="B9" s="26" t="s">
        <v>32</v>
      </c>
      <c r="C9" s="23" t="s">
        <v>28</v>
      </c>
      <c r="D9" s="23">
        <v>52</v>
      </c>
      <c r="E9" s="23">
        <v>19</v>
      </c>
      <c r="F9" s="23" t="s">
        <v>21</v>
      </c>
      <c r="G9" s="23" t="s">
        <v>22</v>
      </c>
      <c r="H9" s="23">
        <v>30</v>
      </c>
      <c r="I9" s="23">
        <v>11</v>
      </c>
      <c r="J9" s="23">
        <v>12</v>
      </c>
      <c r="K9" s="23">
        <f t="shared" si="0"/>
        <v>1</v>
      </c>
      <c r="L9" s="23"/>
      <c r="M9" s="23">
        <v>2</v>
      </c>
      <c r="N9" s="25">
        <v>2</v>
      </c>
      <c r="O9" s="23">
        <f t="shared" si="1"/>
        <v>0</v>
      </c>
      <c r="P9" s="23"/>
      <c r="Q9" s="23">
        <v>0</v>
      </c>
      <c r="R9" s="25">
        <v>0</v>
      </c>
      <c r="S9" s="23">
        <f t="shared" si="2"/>
        <v>0</v>
      </c>
      <c r="T9" s="23"/>
      <c r="U9" s="23">
        <v>40</v>
      </c>
      <c r="V9" s="23">
        <v>40</v>
      </c>
      <c r="W9" s="23">
        <f t="shared" si="3"/>
        <v>0</v>
      </c>
    </row>
    <row r="10" spans="1:23">
      <c r="A10" s="23">
        <v>1</v>
      </c>
      <c r="B10" s="26" t="s">
        <v>33</v>
      </c>
      <c r="C10" s="23" t="s">
        <v>28</v>
      </c>
      <c r="D10" s="23">
        <v>59</v>
      </c>
      <c r="E10" s="23">
        <v>11</v>
      </c>
      <c r="F10" s="23" t="s">
        <v>21</v>
      </c>
      <c r="G10" s="23" t="s">
        <v>22</v>
      </c>
      <c r="H10" s="23">
        <v>30</v>
      </c>
      <c r="I10" s="23">
        <v>12</v>
      </c>
      <c r="J10" s="23">
        <v>12</v>
      </c>
      <c r="K10" s="23">
        <f t="shared" si="0"/>
        <v>0</v>
      </c>
      <c r="L10" s="23"/>
      <c r="M10" s="23">
        <v>12</v>
      </c>
      <c r="N10" s="25">
        <v>13</v>
      </c>
      <c r="O10" s="23">
        <f t="shared" si="1"/>
        <v>1</v>
      </c>
      <c r="P10" s="23"/>
      <c r="Q10" s="23">
        <v>6</v>
      </c>
      <c r="R10" s="25">
        <v>10</v>
      </c>
      <c r="S10" s="23">
        <f t="shared" si="2"/>
        <v>4</v>
      </c>
      <c r="T10" s="23"/>
      <c r="U10" s="23">
        <v>30</v>
      </c>
      <c r="V10" s="23">
        <v>45</v>
      </c>
      <c r="W10" s="23">
        <f t="shared" si="3"/>
        <v>15</v>
      </c>
    </row>
    <row r="11" spans="1:23">
      <c r="A11" s="23">
        <v>1</v>
      </c>
      <c r="B11" s="26" t="s">
        <v>34</v>
      </c>
      <c r="C11" s="23" t="s">
        <v>20</v>
      </c>
      <c r="D11" s="23">
        <v>55</v>
      </c>
      <c r="E11" s="23">
        <v>15</v>
      </c>
      <c r="F11" s="23" t="s">
        <v>24</v>
      </c>
      <c r="G11" s="23" t="s">
        <v>22</v>
      </c>
      <c r="H11" s="23">
        <v>30</v>
      </c>
      <c r="I11" s="23">
        <v>4</v>
      </c>
      <c r="J11" s="23">
        <v>4</v>
      </c>
      <c r="K11" s="23">
        <f t="shared" si="0"/>
        <v>0</v>
      </c>
      <c r="L11" s="23"/>
      <c r="M11" s="23">
        <v>0</v>
      </c>
      <c r="N11" s="25">
        <v>12</v>
      </c>
      <c r="O11" s="23">
        <f t="shared" si="1"/>
        <v>12</v>
      </c>
      <c r="P11" s="23"/>
      <c r="Q11" s="23">
        <v>0</v>
      </c>
      <c r="R11" s="25">
        <v>10</v>
      </c>
      <c r="S11" s="23">
        <f t="shared" si="2"/>
        <v>10</v>
      </c>
      <c r="T11" s="23"/>
      <c r="U11" s="23">
        <v>25</v>
      </c>
      <c r="V11" s="23">
        <v>55</v>
      </c>
      <c r="W11" s="23">
        <f t="shared" si="3"/>
        <v>30</v>
      </c>
    </row>
    <row r="12" spans="1:23">
      <c r="A12" s="23">
        <v>3</v>
      </c>
      <c r="B12" s="35" t="s">
        <v>35</v>
      </c>
      <c r="C12" s="23" t="s">
        <v>20</v>
      </c>
      <c r="D12" s="23">
        <v>72</v>
      </c>
      <c r="E12" s="23">
        <v>60</v>
      </c>
      <c r="F12" s="23" t="s">
        <v>21</v>
      </c>
      <c r="G12" s="23" t="s">
        <v>22</v>
      </c>
      <c r="H12" s="23">
        <v>14</v>
      </c>
      <c r="I12" s="23">
        <v>20</v>
      </c>
      <c r="J12" s="23">
        <v>29</v>
      </c>
      <c r="K12" s="23">
        <f t="shared" si="0"/>
        <v>9</v>
      </c>
      <c r="L12" s="23"/>
      <c r="M12" s="23">
        <v>24</v>
      </c>
      <c r="N12" s="25">
        <v>30</v>
      </c>
      <c r="O12" s="23">
        <f t="shared" si="1"/>
        <v>6</v>
      </c>
      <c r="P12" s="23"/>
      <c r="Q12" s="23">
        <v>44</v>
      </c>
      <c r="R12" s="25">
        <v>51</v>
      </c>
      <c r="S12" s="23">
        <f t="shared" si="2"/>
        <v>7</v>
      </c>
      <c r="T12" s="23"/>
      <c r="U12" s="23">
        <v>70</v>
      </c>
      <c r="V12" s="23">
        <v>90</v>
      </c>
      <c r="W12" s="23">
        <f t="shared" si="3"/>
        <v>20</v>
      </c>
    </row>
    <row r="13" spans="1:23">
      <c r="A13" s="23">
        <v>2</v>
      </c>
      <c r="B13" s="36" t="s">
        <v>36</v>
      </c>
      <c r="C13" s="23" t="s">
        <v>20</v>
      </c>
      <c r="D13" s="23">
        <v>65</v>
      </c>
      <c r="E13" s="23">
        <v>29</v>
      </c>
      <c r="F13" s="23" t="s">
        <v>24</v>
      </c>
      <c r="G13" s="23" t="s">
        <v>25</v>
      </c>
      <c r="H13" s="23">
        <v>22</v>
      </c>
      <c r="I13" s="23">
        <v>3</v>
      </c>
      <c r="J13" s="23">
        <v>8</v>
      </c>
      <c r="K13" s="23">
        <f t="shared" si="0"/>
        <v>5</v>
      </c>
      <c r="L13" s="23"/>
      <c r="M13" s="23">
        <v>0</v>
      </c>
      <c r="N13" s="25">
        <v>0</v>
      </c>
      <c r="O13" s="23">
        <f t="shared" si="1"/>
        <v>0</v>
      </c>
      <c r="P13" s="23"/>
      <c r="Q13" s="23">
        <v>0</v>
      </c>
      <c r="R13" s="25">
        <v>0</v>
      </c>
      <c r="S13" s="23">
        <f t="shared" si="2"/>
        <v>0</v>
      </c>
      <c r="T13" s="23"/>
      <c r="U13" s="23">
        <v>35</v>
      </c>
      <c r="V13" s="23">
        <v>40</v>
      </c>
      <c r="W13" s="23">
        <f t="shared" si="3"/>
        <v>5</v>
      </c>
    </row>
    <row r="14" spans="1:23">
      <c r="A14" s="23">
        <v>2</v>
      </c>
      <c r="B14" s="37" t="s">
        <v>37</v>
      </c>
      <c r="C14" s="23" t="s">
        <v>20</v>
      </c>
      <c r="D14" s="23">
        <v>69</v>
      </c>
      <c r="E14" s="23">
        <v>37</v>
      </c>
      <c r="F14" s="23" t="s">
        <v>21</v>
      </c>
      <c r="G14" s="23" t="s">
        <v>22</v>
      </c>
      <c r="H14" s="23">
        <v>20</v>
      </c>
      <c r="I14" s="23">
        <v>4</v>
      </c>
      <c r="J14" s="23">
        <v>4</v>
      </c>
      <c r="K14" s="23">
        <f t="shared" si="0"/>
        <v>0</v>
      </c>
      <c r="L14" s="23"/>
      <c r="M14" s="23">
        <v>0</v>
      </c>
      <c r="N14" s="25">
        <v>0</v>
      </c>
      <c r="O14" s="23">
        <f t="shared" si="1"/>
        <v>0</v>
      </c>
      <c r="P14" s="23"/>
      <c r="Q14" s="23">
        <v>0</v>
      </c>
      <c r="R14" s="25">
        <v>0</v>
      </c>
      <c r="S14" s="23">
        <f t="shared" si="2"/>
        <v>0</v>
      </c>
      <c r="T14" s="23"/>
      <c r="U14" s="23">
        <v>45</v>
      </c>
      <c r="V14" s="23">
        <v>55</v>
      </c>
      <c r="W14" s="23">
        <f t="shared" si="3"/>
        <v>10</v>
      </c>
    </row>
    <row r="15" spans="1:23">
      <c r="A15" s="23">
        <v>2</v>
      </c>
      <c r="B15" s="37" t="s">
        <v>38</v>
      </c>
      <c r="C15" s="23" t="s">
        <v>28</v>
      </c>
      <c r="D15" s="23">
        <v>74</v>
      </c>
      <c r="E15" s="23">
        <v>91</v>
      </c>
      <c r="F15" s="23" t="s">
        <v>24</v>
      </c>
      <c r="G15" s="23" t="s">
        <v>25</v>
      </c>
      <c r="H15" s="23">
        <v>23</v>
      </c>
      <c r="I15" s="23">
        <v>12</v>
      </c>
      <c r="J15" s="23">
        <v>13</v>
      </c>
      <c r="K15" s="23">
        <f t="shared" si="0"/>
        <v>1</v>
      </c>
      <c r="L15" s="23"/>
      <c r="M15" s="23">
        <v>12</v>
      </c>
      <c r="N15" s="25">
        <v>18</v>
      </c>
      <c r="O15" s="23">
        <f t="shared" si="1"/>
        <v>6</v>
      </c>
      <c r="P15" s="23"/>
      <c r="Q15" s="23">
        <v>18</v>
      </c>
      <c r="R15" s="25">
        <v>25</v>
      </c>
      <c r="S15" s="23">
        <f t="shared" si="2"/>
        <v>7</v>
      </c>
      <c r="T15" s="23"/>
      <c r="U15" s="23">
        <v>45</v>
      </c>
      <c r="V15" s="23">
        <v>55</v>
      </c>
      <c r="W15" s="23">
        <f t="shared" si="3"/>
        <v>10</v>
      </c>
    </row>
    <row r="16" spans="1:23">
      <c r="A16" s="23">
        <v>1</v>
      </c>
      <c r="B16" s="37" t="s">
        <v>39</v>
      </c>
      <c r="C16" s="23" t="s">
        <v>20</v>
      </c>
      <c r="D16" s="23">
        <v>51</v>
      </c>
      <c r="E16" s="23">
        <v>41</v>
      </c>
      <c r="F16" s="23" t="s">
        <v>24</v>
      </c>
      <c r="G16" s="23" t="s">
        <v>25</v>
      </c>
      <c r="H16" s="23">
        <v>20</v>
      </c>
      <c r="I16" s="23">
        <v>20</v>
      </c>
      <c r="J16" s="23">
        <v>36</v>
      </c>
      <c r="K16" s="23">
        <f t="shared" si="0"/>
        <v>16</v>
      </c>
      <c r="L16" s="23"/>
      <c r="M16" s="23">
        <v>17</v>
      </c>
      <c r="N16" s="25">
        <v>29</v>
      </c>
      <c r="O16" s="23">
        <f t="shared" si="1"/>
        <v>12</v>
      </c>
      <c r="P16" s="23"/>
      <c r="Q16" s="23">
        <v>34</v>
      </c>
      <c r="R16" s="25">
        <v>50</v>
      </c>
      <c r="S16" s="23">
        <f t="shared" si="2"/>
        <v>16</v>
      </c>
      <c r="T16" s="23"/>
      <c r="U16" s="23">
        <v>60</v>
      </c>
      <c r="V16" s="23">
        <v>90</v>
      </c>
      <c r="W16" s="23">
        <f t="shared" si="3"/>
        <v>30</v>
      </c>
    </row>
    <row r="17" spans="1:23">
      <c r="A17" s="23">
        <v>4</v>
      </c>
      <c r="B17" s="37" t="s">
        <v>40</v>
      </c>
      <c r="C17" s="23" t="s">
        <v>20</v>
      </c>
      <c r="D17" s="23">
        <v>74</v>
      </c>
      <c r="E17" s="23">
        <v>57</v>
      </c>
      <c r="F17" s="23" t="s">
        <v>21</v>
      </c>
      <c r="G17" s="23" t="s">
        <v>22</v>
      </c>
      <c r="H17" s="23">
        <v>22</v>
      </c>
      <c r="I17" s="23">
        <v>24</v>
      </c>
      <c r="J17" s="23">
        <v>27</v>
      </c>
      <c r="K17" s="23">
        <f t="shared" si="0"/>
        <v>3</v>
      </c>
      <c r="L17" s="23"/>
      <c r="M17" s="23">
        <v>14</v>
      </c>
      <c r="N17" s="25">
        <v>21</v>
      </c>
      <c r="O17" s="23">
        <f t="shared" si="1"/>
        <v>7</v>
      </c>
      <c r="P17" s="23"/>
      <c r="Q17" s="23">
        <v>31</v>
      </c>
      <c r="R17" s="25">
        <v>42</v>
      </c>
      <c r="S17" s="23">
        <f t="shared" si="2"/>
        <v>11</v>
      </c>
      <c r="T17" s="23"/>
      <c r="U17" s="23">
        <v>30</v>
      </c>
      <c r="V17" s="23">
        <v>55</v>
      </c>
      <c r="W17" s="23">
        <f t="shared" si="3"/>
        <v>25</v>
      </c>
    </row>
    <row r="18" spans="1:23">
      <c r="A18" s="23">
        <v>1</v>
      </c>
      <c r="B18" t="s">
        <v>41</v>
      </c>
      <c r="C18" s="23" t="s">
        <v>20</v>
      </c>
      <c r="D18" s="23">
        <v>67</v>
      </c>
      <c r="E18" s="23">
        <v>51</v>
      </c>
      <c r="F18" s="23" t="s">
        <v>21</v>
      </c>
      <c r="G18" s="23" t="s">
        <v>22</v>
      </c>
      <c r="H18" s="23">
        <v>20</v>
      </c>
      <c r="I18" s="23">
        <v>3</v>
      </c>
      <c r="J18" s="23">
        <v>3</v>
      </c>
      <c r="K18" s="23">
        <f t="shared" si="0"/>
        <v>0</v>
      </c>
      <c r="L18" s="23"/>
      <c r="M18" s="23">
        <v>1</v>
      </c>
      <c r="N18" s="25">
        <v>1</v>
      </c>
      <c r="O18" s="23">
        <f t="shared" si="1"/>
        <v>0</v>
      </c>
      <c r="P18" s="23"/>
      <c r="Q18" s="23">
        <v>1</v>
      </c>
      <c r="R18" s="25">
        <v>1</v>
      </c>
      <c r="S18" s="23">
        <f t="shared" si="2"/>
        <v>0</v>
      </c>
      <c r="T18" s="23"/>
      <c r="U18" s="23">
        <v>0</v>
      </c>
      <c r="V18" s="23">
        <v>40</v>
      </c>
      <c r="W18" s="23">
        <f t="shared" si="3"/>
        <v>40</v>
      </c>
    </row>
    <row r="19" spans="1:23">
      <c r="A19" s="23">
        <v>3</v>
      </c>
      <c r="B19" s="37" t="s">
        <v>42</v>
      </c>
      <c r="C19" s="23" t="s">
        <v>20</v>
      </c>
      <c r="D19" s="23">
        <v>56</v>
      </c>
      <c r="E19" s="23">
        <v>36</v>
      </c>
      <c r="F19" s="23" t="s">
        <v>24</v>
      </c>
      <c r="G19" s="23" t="s">
        <v>25</v>
      </c>
      <c r="H19" s="23">
        <v>26</v>
      </c>
      <c r="I19" s="23">
        <v>4</v>
      </c>
      <c r="J19" s="23">
        <v>6</v>
      </c>
      <c r="K19" s="23">
        <f t="shared" si="0"/>
        <v>2</v>
      </c>
      <c r="L19" s="23"/>
      <c r="M19" s="23">
        <v>0</v>
      </c>
      <c r="N19" s="25">
        <v>0</v>
      </c>
      <c r="O19" s="23">
        <f t="shared" si="1"/>
        <v>0</v>
      </c>
      <c r="P19" s="23"/>
      <c r="Q19" s="23">
        <v>0</v>
      </c>
      <c r="R19" s="25">
        <v>0</v>
      </c>
      <c r="S19" s="23">
        <f t="shared" si="2"/>
        <v>0</v>
      </c>
      <c r="T19" s="23"/>
      <c r="U19" s="23">
        <v>40</v>
      </c>
      <c r="V19" s="23">
        <v>55</v>
      </c>
      <c r="W19" s="23">
        <f t="shared" si="3"/>
        <v>15</v>
      </c>
    </row>
    <row r="20" spans="1:23">
      <c r="A20" s="23">
        <v>3</v>
      </c>
      <c r="B20" s="37" t="s">
        <v>43</v>
      </c>
      <c r="C20" s="23" t="s">
        <v>20</v>
      </c>
      <c r="D20" s="23">
        <v>73</v>
      </c>
      <c r="E20" s="23">
        <v>10</v>
      </c>
      <c r="F20" s="23" t="s">
        <v>24</v>
      </c>
      <c r="G20" s="23" t="s">
        <v>22</v>
      </c>
      <c r="H20" s="23">
        <v>29</v>
      </c>
      <c r="I20" s="23">
        <v>22</v>
      </c>
      <c r="J20" s="23">
        <v>23</v>
      </c>
      <c r="K20" s="23">
        <f t="shared" si="0"/>
        <v>1</v>
      </c>
      <c r="L20" s="23"/>
      <c r="M20" s="23">
        <v>1</v>
      </c>
      <c r="N20" s="25">
        <v>8</v>
      </c>
      <c r="O20" s="23">
        <f t="shared" si="1"/>
        <v>7</v>
      </c>
      <c r="P20" s="23"/>
      <c r="Q20" s="23">
        <v>4</v>
      </c>
      <c r="R20" s="25">
        <v>22</v>
      </c>
      <c r="S20" s="23">
        <f t="shared" si="2"/>
        <v>18</v>
      </c>
      <c r="T20" s="23"/>
      <c r="U20" s="23">
        <v>55</v>
      </c>
      <c r="V20" s="23">
        <v>70</v>
      </c>
      <c r="W20" s="23">
        <f t="shared" si="3"/>
        <v>15</v>
      </c>
    </row>
    <row r="21" spans="1:23">
      <c r="A21" s="23">
        <v>3</v>
      </c>
      <c r="B21" t="s">
        <v>44</v>
      </c>
      <c r="C21" s="23" t="s">
        <v>20</v>
      </c>
      <c r="D21" s="23">
        <v>64</v>
      </c>
      <c r="E21" s="23">
        <v>24</v>
      </c>
      <c r="F21" s="23" t="s">
        <v>21</v>
      </c>
      <c r="G21" s="23" t="s">
        <v>22</v>
      </c>
      <c r="H21" s="23">
        <v>25</v>
      </c>
      <c r="I21" s="23">
        <v>26</v>
      </c>
      <c r="J21" s="23">
        <v>20</v>
      </c>
      <c r="K21" s="23">
        <f t="shared" si="0"/>
        <v>-6</v>
      </c>
      <c r="L21" s="23"/>
      <c r="M21" s="23">
        <v>20</v>
      </c>
      <c r="N21" s="25">
        <v>22</v>
      </c>
      <c r="O21" s="23">
        <f t="shared" si="1"/>
        <v>2</v>
      </c>
      <c r="P21" s="23"/>
      <c r="Q21" s="23">
        <v>30</v>
      </c>
      <c r="R21" s="25">
        <v>33</v>
      </c>
      <c r="S21" s="23">
        <f t="shared" si="2"/>
        <v>3</v>
      </c>
      <c r="T21" s="23"/>
      <c r="U21" s="23">
        <v>30</v>
      </c>
      <c r="V21" s="23">
        <v>45</v>
      </c>
      <c r="W21" s="23">
        <f t="shared" si="3"/>
        <v>15</v>
      </c>
    </row>
    <row r="22" spans="1:23">
      <c r="A22" s="23">
        <v>4</v>
      </c>
      <c r="B22" s="40" t="s">
        <v>45</v>
      </c>
      <c r="C22" s="23" t="s">
        <v>28</v>
      </c>
      <c r="D22" s="23">
        <v>77</v>
      </c>
      <c r="E22" s="23">
        <v>38</v>
      </c>
      <c r="F22" s="23" t="s">
        <v>24</v>
      </c>
      <c r="G22" s="23" t="s">
        <v>22</v>
      </c>
      <c r="H22" s="23">
        <v>22</v>
      </c>
      <c r="I22" s="23">
        <v>3</v>
      </c>
      <c r="J22" s="23">
        <v>5</v>
      </c>
      <c r="K22" s="23">
        <f t="shared" si="0"/>
        <v>2</v>
      </c>
      <c r="L22" s="23"/>
      <c r="M22" s="23">
        <v>0</v>
      </c>
      <c r="N22" s="25">
        <v>0</v>
      </c>
      <c r="O22" s="23">
        <f t="shared" si="1"/>
        <v>0</v>
      </c>
      <c r="P22" s="23"/>
      <c r="Q22" s="23">
        <v>0</v>
      </c>
      <c r="R22" s="25">
        <v>0</v>
      </c>
      <c r="S22" s="23">
        <f t="shared" si="2"/>
        <v>0</v>
      </c>
      <c r="T22" s="23"/>
      <c r="U22" s="23">
        <v>10</v>
      </c>
      <c r="V22" s="23">
        <v>10</v>
      </c>
      <c r="W22" s="23">
        <f t="shared" si="3"/>
        <v>0</v>
      </c>
    </row>
    <row r="23" spans="1:23">
      <c r="A23" s="23">
        <v>2</v>
      </c>
      <c r="B23" s="40" t="s">
        <v>46</v>
      </c>
      <c r="C23" s="23" t="s">
        <v>20</v>
      </c>
      <c r="D23" s="23">
        <v>76</v>
      </c>
      <c r="E23" s="23">
        <v>12</v>
      </c>
      <c r="F23" s="23" t="s">
        <v>21</v>
      </c>
      <c r="G23" s="23" t="s">
        <v>22</v>
      </c>
      <c r="H23" s="23">
        <v>30</v>
      </c>
      <c r="I23" s="23">
        <v>18</v>
      </c>
      <c r="J23" s="23">
        <v>36</v>
      </c>
      <c r="K23" s="23">
        <f t="shared" si="0"/>
        <v>18</v>
      </c>
      <c r="L23" s="23"/>
      <c r="M23" s="23">
        <v>16</v>
      </c>
      <c r="N23" s="25">
        <v>32</v>
      </c>
      <c r="O23" s="23">
        <f t="shared" si="1"/>
        <v>16</v>
      </c>
      <c r="P23" s="23"/>
      <c r="Q23" s="23">
        <v>30</v>
      </c>
      <c r="R23" s="25">
        <v>57</v>
      </c>
      <c r="S23" s="23">
        <f t="shared" si="2"/>
        <v>27</v>
      </c>
      <c r="T23" s="23"/>
      <c r="U23" s="23">
        <v>45</v>
      </c>
      <c r="V23" s="23">
        <v>100</v>
      </c>
      <c r="W23" s="23">
        <f t="shared" si="3"/>
        <v>55</v>
      </c>
    </row>
    <row r="24" spans="1:23">
      <c r="A24" s="23">
        <v>3</v>
      </c>
      <c r="B24" s="40" t="s">
        <v>47</v>
      </c>
      <c r="C24" s="23" t="s">
        <v>20</v>
      </c>
      <c r="D24" s="23">
        <v>77</v>
      </c>
      <c r="E24" s="23">
        <v>42</v>
      </c>
      <c r="F24" s="23" t="s">
        <v>24</v>
      </c>
      <c r="G24" s="23" t="s">
        <v>22</v>
      </c>
      <c r="H24" s="23">
        <v>29</v>
      </c>
      <c r="I24" s="23">
        <v>4</v>
      </c>
      <c r="J24" s="23">
        <v>6</v>
      </c>
      <c r="K24" s="23">
        <f t="shared" si="0"/>
        <v>2</v>
      </c>
      <c r="L24" s="23"/>
      <c r="M24" s="23">
        <v>0</v>
      </c>
      <c r="N24" s="25">
        <v>0</v>
      </c>
      <c r="O24" s="23">
        <f t="shared" si="1"/>
        <v>0</v>
      </c>
      <c r="P24" s="23"/>
      <c r="Q24" s="23">
        <v>0</v>
      </c>
      <c r="R24" s="25">
        <v>0</v>
      </c>
      <c r="S24" s="23">
        <f t="shared" si="2"/>
        <v>0</v>
      </c>
      <c r="T24" s="23"/>
      <c r="U24" s="23">
        <v>50</v>
      </c>
      <c r="V24" s="23">
        <v>55</v>
      </c>
      <c r="W24" s="23">
        <f t="shared" si="3"/>
        <v>5</v>
      </c>
    </row>
    <row r="25" spans="1:23">
      <c r="A25" s="23">
        <v>2</v>
      </c>
      <c r="B25" s="32" t="s">
        <v>48</v>
      </c>
      <c r="C25" s="23" t="s">
        <v>20</v>
      </c>
      <c r="D25" s="23">
        <v>75</v>
      </c>
      <c r="E25" s="23">
        <v>42</v>
      </c>
      <c r="F25" s="23" t="s">
        <v>24</v>
      </c>
      <c r="G25" s="23" t="s">
        <v>22</v>
      </c>
      <c r="H25" s="23">
        <v>25</v>
      </c>
      <c r="I25" s="23">
        <v>16</v>
      </c>
      <c r="J25" s="23">
        <v>20</v>
      </c>
      <c r="K25" s="23">
        <f t="shared" si="0"/>
        <v>4</v>
      </c>
      <c r="L25" s="23"/>
      <c r="M25" s="23">
        <v>10</v>
      </c>
      <c r="N25" s="25">
        <v>10</v>
      </c>
      <c r="O25" s="23">
        <f t="shared" si="1"/>
        <v>0</v>
      </c>
      <c r="P25" s="23"/>
      <c r="Q25" s="23">
        <v>10</v>
      </c>
      <c r="R25" s="25">
        <v>20</v>
      </c>
      <c r="S25" s="23">
        <f t="shared" si="2"/>
        <v>10</v>
      </c>
      <c r="T25" s="23"/>
      <c r="U25" s="23">
        <v>50</v>
      </c>
      <c r="V25" s="23">
        <v>55</v>
      </c>
      <c r="W25" s="23">
        <f t="shared" si="3"/>
        <v>5</v>
      </c>
    </row>
    <row r="26" spans="1:23">
      <c r="A26" s="23">
        <v>2</v>
      </c>
      <c r="B26" s="41" t="s">
        <v>49</v>
      </c>
      <c r="C26" s="23" t="s">
        <v>28</v>
      </c>
      <c r="D26" s="23">
        <v>73</v>
      </c>
      <c r="E26" s="23">
        <v>14</v>
      </c>
      <c r="F26" s="23" t="s">
        <v>24</v>
      </c>
      <c r="G26" s="23" t="s">
        <v>22</v>
      </c>
      <c r="H26" s="23">
        <v>20</v>
      </c>
      <c r="I26" s="23">
        <v>5</v>
      </c>
      <c r="J26" s="23">
        <v>5</v>
      </c>
      <c r="K26" s="23">
        <f t="shared" si="0"/>
        <v>0</v>
      </c>
      <c r="L26" s="23"/>
      <c r="M26" s="23">
        <v>0</v>
      </c>
      <c r="N26" s="25">
        <v>0</v>
      </c>
      <c r="O26" s="23">
        <f t="shared" si="1"/>
        <v>0</v>
      </c>
      <c r="P26" s="23"/>
      <c r="Q26" s="23">
        <v>0</v>
      </c>
      <c r="R26" s="25">
        <v>0</v>
      </c>
      <c r="S26" s="23">
        <f t="shared" si="2"/>
        <v>0</v>
      </c>
      <c r="T26" s="23"/>
      <c r="U26" s="23">
        <v>20</v>
      </c>
      <c r="V26" s="23">
        <v>30</v>
      </c>
      <c r="W26" s="23">
        <f t="shared" si="3"/>
        <v>10</v>
      </c>
    </row>
    <row r="27" spans="1:23">
      <c r="A27" s="23">
        <v>4</v>
      </c>
      <c r="B27" s="40" t="s">
        <v>50</v>
      </c>
      <c r="C27" s="23" t="s">
        <v>28</v>
      </c>
      <c r="D27" s="23">
        <v>74</v>
      </c>
      <c r="E27" s="23">
        <v>132</v>
      </c>
      <c r="F27" s="23" t="s">
        <v>24</v>
      </c>
      <c r="G27" s="23" t="s">
        <v>22</v>
      </c>
      <c r="H27" s="23">
        <v>27</v>
      </c>
      <c r="I27" s="23">
        <v>20</v>
      </c>
      <c r="J27" s="23">
        <v>25</v>
      </c>
      <c r="K27" s="23">
        <f t="shared" si="0"/>
        <v>5</v>
      </c>
      <c r="L27" s="23"/>
      <c r="M27" s="23">
        <v>14</v>
      </c>
      <c r="N27" s="25">
        <v>18</v>
      </c>
      <c r="O27" s="23">
        <f t="shared" si="1"/>
        <v>4</v>
      </c>
      <c r="P27" s="23"/>
      <c r="Q27" s="23">
        <v>15</v>
      </c>
      <c r="R27" s="25">
        <v>30</v>
      </c>
      <c r="S27" s="23">
        <f t="shared" si="2"/>
        <v>15</v>
      </c>
      <c r="T27" s="23"/>
      <c r="U27" s="23">
        <v>35</v>
      </c>
      <c r="V27" s="23">
        <v>50</v>
      </c>
      <c r="W27" s="23">
        <f t="shared" si="3"/>
        <v>15</v>
      </c>
    </row>
    <row r="28" spans="1:23">
      <c r="A28" s="23">
        <v>3</v>
      </c>
      <c r="B28" s="40" t="s">
        <v>51</v>
      </c>
      <c r="C28" s="23" t="s">
        <v>20</v>
      </c>
      <c r="D28" s="23">
        <v>68</v>
      </c>
      <c r="E28" s="23">
        <v>10</v>
      </c>
      <c r="F28" s="23" t="s">
        <v>24</v>
      </c>
      <c r="G28" s="23" t="s">
        <v>22</v>
      </c>
      <c r="H28" s="23">
        <v>29</v>
      </c>
      <c r="I28" s="23">
        <v>4</v>
      </c>
      <c r="J28" s="23">
        <v>28</v>
      </c>
      <c r="K28" s="23">
        <f t="shared" si="0"/>
        <v>24</v>
      </c>
      <c r="L28" s="23"/>
      <c r="M28" s="23">
        <v>0</v>
      </c>
      <c r="N28" s="25">
        <v>16</v>
      </c>
      <c r="O28" s="23">
        <f t="shared" si="1"/>
        <v>16</v>
      </c>
      <c r="P28" s="23"/>
      <c r="Q28" s="23">
        <v>0</v>
      </c>
      <c r="R28" s="25">
        <v>22</v>
      </c>
      <c r="S28" s="23">
        <f t="shared" si="2"/>
        <v>22</v>
      </c>
      <c r="T28" s="23"/>
      <c r="U28" s="23">
        <v>40</v>
      </c>
      <c r="V28" s="23">
        <v>75</v>
      </c>
      <c r="W28" s="23">
        <f t="shared" si="3"/>
        <v>35</v>
      </c>
    </row>
    <row r="29" spans="1:23">
      <c r="A29" s="23">
        <v>2</v>
      </c>
      <c r="B29" s="41" t="s">
        <v>52</v>
      </c>
      <c r="C29" s="23" t="s">
        <v>20</v>
      </c>
      <c r="D29" s="23">
        <v>61</v>
      </c>
      <c r="E29" s="23">
        <v>149</v>
      </c>
      <c r="F29" s="23" t="s">
        <v>21</v>
      </c>
      <c r="G29" s="23" t="s">
        <v>22</v>
      </c>
      <c r="H29" s="23">
        <v>23</v>
      </c>
      <c r="I29" s="23">
        <v>20</v>
      </c>
      <c r="J29" s="23">
        <v>28</v>
      </c>
      <c r="K29" s="23">
        <f t="shared" si="0"/>
        <v>8</v>
      </c>
      <c r="L29" s="23"/>
      <c r="M29" s="23">
        <v>17</v>
      </c>
      <c r="N29" s="25">
        <v>13</v>
      </c>
      <c r="O29" s="23">
        <f t="shared" si="1"/>
        <v>-4</v>
      </c>
      <c r="P29" s="23"/>
      <c r="Q29" s="23">
        <v>15</v>
      </c>
      <c r="R29" s="25">
        <v>30</v>
      </c>
      <c r="S29" s="23">
        <f t="shared" si="2"/>
        <v>15</v>
      </c>
      <c r="T29" s="23"/>
      <c r="U29" s="23">
        <v>50</v>
      </c>
      <c r="V29" s="23">
        <v>55</v>
      </c>
      <c r="W29" s="23">
        <f t="shared" si="3"/>
        <v>5</v>
      </c>
    </row>
    <row r="30" spans="1:23">
      <c r="A30" s="23">
        <v>1</v>
      </c>
      <c r="B30" s="42" t="s">
        <v>53</v>
      </c>
      <c r="C30" s="23" t="s">
        <v>28</v>
      </c>
      <c r="D30" s="23">
        <v>69</v>
      </c>
      <c r="E30" s="23">
        <v>28</v>
      </c>
      <c r="F30" s="23" t="s">
        <v>24</v>
      </c>
      <c r="G30" s="23" t="s">
        <v>22</v>
      </c>
      <c r="H30" s="23">
        <v>20</v>
      </c>
      <c r="I30" s="23">
        <v>3</v>
      </c>
      <c r="J30" s="23">
        <v>4</v>
      </c>
      <c r="K30" s="23">
        <f t="shared" si="0"/>
        <v>1</v>
      </c>
      <c r="L30" s="23"/>
      <c r="M30" s="23">
        <v>0</v>
      </c>
      <c r="N30" s="25">
        <v>0</v>
      </c>
      <c r="O30" s="23">
        <f t="shared" si="1"/>
        <v>0</v>
      </c>
      <c r="P30" s="23"/>
      <c r="Q30" s="23">
        <v>0</v>
      </c>
      <c r="R30" s="25">
        <v>15</v>
      </c>
      <c r="S30" s="23">
        <f t="shared" si="2"/>
        <v>15</v>
      </c>
      <c r="T30" s="23"/>
      <c r="U30" s="23">
        <v>35</v>
      </c>
      <c r="V30" s="23">
        <v>45</v>
      </c>
      <c r="W30" s="23">
        <f t="shared" si="3"/>
        <v>10</v>
      </c>
    </row>
    <row r="31" spans="1:23">
      <c r="A31" s="23">
        <v>4</v>
      </c>
      <c r="B31" s="43" t="s">
        <v>54</v>
      </c>
      <c r="C31" s="23" t="s">
        <v>20</v>
      </c>
      <c r="D31" s="23">
        <v>52</v>
      </c>
      <c r="E31" s="23">
        <v>23</v>
      </c>
      <c r="F31" s="23" t="s">
        <v>24</v>
      </c>
      <c r="G31" s="23" t="s">
        <v>25</v>
      </c>
      <c r="H31" s="23">
        <v>13</v>
      </c>
      <c r="I31" s="23">
        <v>0</v>
      </c>
      <c r="J31" s="23">
        <v>4</v>
      </c>
      <c r="K31" s="23">
        <f t="shared" si="0"/>
        <v>4</v>
      </c>
      <c r="L31" s="23"/>
      <c r="M31" s="23">
        <v>0</v>
      </c>
      <c r="N31" s="25">
        <v>2</v>
      </c>
      <c r="O31" s="23">
        <f t="shared" si="1"/>
        <v>2</v>
      </c>
      <c r="P31" s="23"/>
      <c r="Q31" s="23">
        <v>0</v>
      </c>
      <c r="R31" s="25">
        <v>1</v>
      </c>
      <c r="S31" s="23">
        <f t="shared" si="2"/>
        <v>1</v>
      </c>
      <c r="T31" s="23"/>
      <c r="U31" s="23">
        <v>50</v>
      </c>
      <c r="V31" s="23">
        <v>70</v>
      </c>
      <c r="W31" s="23">
        <f t="shared" si="3"/>
        <v>20</v>
      </c>
    </row>
    <row r="32" spans="1:23">
      <c r="A32" s="23">
        <v>3</v>
      </c>
      <c r="B32" s="44" t="s">
        <v>55</v>
      </c>
      <c r="C32" s="23" t="s">
        <v>28</v>
      </c>
      <c r="D32" s="23">
        <v>69</v>
      </c>
      <c r="E32" s="23">
        <v>50</v>
      </c>
      <c r="F32" s="23" t="s">
        <v>21</v>
      </c>
      <c r="G32" s="23" t="s">
        <v>22</v>
      </c>
      <c r="H32" s="23">
        <v>22</v>
      </c>
      <c r="I32" s="23">
        <v>12</v>
      </c>
      <c r="J32" s="23">
        <v>28</v>
      </c>
      <c r="K32" s="23">
        <f t="shared" si="0"/>
        <v>16</v>
      </c>
      <c r="L32" s="23"/>
      <c r="M32" s="23">
        <v>0</v>
      </c>
      <c r="N32" s="25">
        <v>13</v>
      </c>
      <c r="O32" s="23">
        <f t="shared" si="1"/>
        <v>13</v>
      </c>
      <c r="P32" s="23"/>
      <c r="Q32" s="23">
        <v>6</v>
      </c>
      <c r="R32" s="25">
        <v>22</v>
      </c>
      <c r="S32" s="23">
        <f t="shared" si="2"/>
        <v>16</v>
      </c>
      <c r="T32" s="23"/>
      <c r="U32" s="23">
        <v>40</v>
      </c>
      <c r="V32" s="23">
        <v>60</v>
      </c>
      <c r="W32" s="23">
        <f t="shared" si="3"/>
        <v>20</v>
      </c>
    </row>
    <row r="33" spans="1:23">
      <c r="A33" s="23">
        <v>3</v>
      </c>
      <c r="B33" s="43" t="s">
        <v>56</v>
      </c>
      <c r="C33" s="23" t="s">
        <v>20</v>
      </c>
      <c r="D33" s="23">
        <v>41</v>
      </c>
      <c r="E33" s="23">
        <v>62</v>
      </c>
      <c r="F33" s="23" t="s">
        <v>21</v>
      </c>
      <c r="G33" s="23" t="s">
        <v>25</v>
      </c>
      <c r="H33" s="23">
        <v>27</v>
      </c>
      <c r="I33" s="23">
        <v>0</v>
      </c>
      <c r="J33" s="23">
        <v>6</v>
      </c>
      <c r="K33" s="23">
        <f t="shared" si="0"/>
        <v>6</v>
      </c>
      <c r="L33" s="23"/>
      <c r="M33" s="23">
        <v>0</v>
      </c>
      <c r="N33" s="25">
        <v>4</v>
      </c>
      <c r="O33" s="23">
        <f t="shared" si="1"/>
        <v>4</v>
      </c>
      <c r="P33" s="23"/>
      <c r="Q33" s="23">
        <v>0</v>
      </c>
      <c r="R33" s="25">
        <v>1</v>
      </c>
      <c r="S33" s="23">
        <f t="shared" si="2"/>
        <v>1</v>
      </c>
      <c r="T33" s="23"/>
      <c r="U33" s="23">
        <v>65</v>
      </c>
      <c r="V33" s="23">
        <v>70</v>
      </c>
      <c r="W33" s="23">
        <f t="shared" si="3"/>
        <v>5</v>
      </c>
    </row>
    <row r="34" spans="1:23">
      <c r="A34" s="23">
        <v>4</v>
      </c>
      <c r="B34" s="41" t="s">
        <v>57</v>
      </c>
      <c r="C34" s="23" t="s">
        <v>20</v>
      </c>
      <c r="D34" s="23">
        <v>48</v>
      </c>
      <c r="E34" s="23">
        <v>21</v>
      </c>
      <c r="F34" s="23" t="s">
        <v>24</v>
      </c>
      <c r="G34" s="23" t="s">
        <v>25</v>
      </c>
      <c r="H34" s="23">
        <v>26</v>
      </c>
      <c r="I34" s="23">
        <v>6</v>
      </c>
      <c r="J34" s="23">
        <v>26</v>
      </c>
      <c r="K34" s="23">
        <f t="shared" si="0"/>
        <v>20</v>
      </c>
      <c r="L34" s="23"/>
      <c r="M34" s="23">
        <v>2</v>
      </c>
      <c r="N34" s="25">
        <v>35</v>
      </c>
      <c r="O34" s="23">
        <f t="shared" si="1"/>
        <v>33</v>
      </c>
      <c r="P34" s="23"/>
      <c r="Q34" s="23">
        <v>1</v>
      </c>
      <c r="R34" s="25">
        <v>40</v>
      </c>
      <c r="S34" s="23">
        <f t="shared" si="2"/>
        <v>39</v>
      </c>
      <c r="T34" s="23"/>
      <c r="U34" s="23">
        <v>20</v>
      </c>
      <c r="V34" s="23">
        <v>65</v>
      </c>
      <c r="W34" s="23">
        <f t="shared" si="3"/>
        <v>45</v>
      </c>
    </row>
    <row r="35" spans="1:23">
      <c r="A35" s="23">
        <v>1</v>
      </c>
      <c r="B35" s="40" t="s">
        <v>58</v>
      </c>
      <c r="C35" s="23" t="s">
        <v>20</v>
      </c>
      <c r="D35" s="23">
        <v>70</v>
      </c>
      <c r="E35" s="23">
        <v>11</v>
      </c>
      <c r="F35" s="23" t="s">
        <v>24</v>
      </c>
      <c r="G35" s="23" t="s">
        <v>25</v>
      </c>
      <c r="H35" s="23">
        <v>30</v>
      </c>
      <c r="I35" s="23">
        <v>12</v>
      </c>
      <c r="J35" s="23">
        <v>28</v>
      </c>
      <c r="K35" s="23">
        <f t="shared" si="0"/>
        <v>16</v>
      </c>
      <c r="L35" s="23"/>
      <c r="M35" s="23">
        <v>19</v>
      </c>
      <c r="N35" s="25">
        <v>35</v>
      </c>
      <c r="O35" s="23">
        <f t="shared" si="1"/>
        <v>16</v>
      </c>
      <c r="P35" s="23"/>
      <c r="Q35" s="23">
        <v>40</v>
      </c>
      <c r="R35" s="25">
        <v>50</v>
      </c>
      <c r="S35" s="23">
        <f t="shared" si="2"/>
        <v>10</v>
      </c>
      <c r="T35" s="23"/>
      <c r="U35" s="23">
        <v>50</v>
      </c>
      <c r="V35" s="23">
        <v>65</v>
      </c>
      <c r="W35" s="23">
        <f t="shared" si="3"/>
        <v>15</v>
      </c>
    </row>
    <row r="36" spans="1:23">
      <c r="A36" s="23">
        <v>1</v>
      </c>
      <c r="B36" s="41" t="s">
        <v>59</v>
      </c>
      <c r="C36" s="23" t="s">
        <v>28</v>
      </c>
      <c r="D36" s="23">
        <v>65</v>
      </c>
      <c r="E36" s="23">
        <v>10</v>
      </c>
      <c r="F36" s="23" t="s">
        <v>24</v>
      </c>
      <c r="G36" s="23" t="s">
        <v>22</v>
      </c>
      <c r="H36" s="23">
        <v>30</v>
      </c>
      <c r="I36" s="23">
        <v>6</v>
      </c>
      <c r="J36" s="23">
        <v>8</v>
      </c>
      <c r="K36" s="23">
        <f t="shared" si="0"/>
        <v>2</v>
      </c>
      <c r="L36" s="23"/>
      <c r="M36" s="23">
        <v>0</v>
      </c>
      <c r="N36" s="25">
        <v>0</v>
      </c>
      <c r="O36" s="23">
        <f t="shared" si="1"/>
        <v>0</v>
      </c>
      <c r="P36" s="23"/>
      <c r="Q36" s="23">
        <v>0</v>
      </c>
      <c r="R36" s="25"/>
      <c r="S36" s="23">
        <f t="shared" si="2"/>
        <v>0</v>
      </c>
      <c r="T36" s="23"/>
      <c r="U36" s="23">
        <v>75</v>
      </c>
      <c r="V36" s="23">
        <v>80</v>
      </c>
      <c r="W36" s="23">
        <f t="shared" si="3"/>
        <v>5</v>
      </c>
    </row>
    <row r="37" spans="1:23">
      <c r="A37" s="23">
        <v>1</v>
      </c>
      <c r="B37" s="40" t="s">
        <v>60</v>
      </c>
      <c r="C37" s="23" t="s">
        <v>20</v>
      </c>
      <c r="D37" s="23">
        <v>72</v>
      </c>
      <c r="E37" s="23">
        <v>38</v>
      </c>
      <c r="F37" s="23" t="s">
        <v>21</v>
      </c>
      <c r="G37" s="23" t="s">
        <v>22</v>
      </c>
      <c r="H37" s="23">
        <v>27</v>
      </c>
      <c r="I37" s="23">
        <v>5</v>
      </c>
      <c r="J37" s="23">
        <v>22</v>
      </c>
      <c r="K37" s="23">
        <f t="shared" si="0"/>
        <v>17</v>
      </c>
      <c r="L37" s="23"/>
      <c r="M37" s="23">
        <v>0</v>
      </c>
      <c r="N37" s="25">
        <v>6</v>
      </c>
      <c r="O37" s="23">
        <f t="shared" si="1"/>
        <v>6</v>
      </c>
      <c r="P37" s="23"/>
      <c r="Q37" s="23">
        <v>0</v>
      </c>
      <c r="R37" s="25">
        <v>16</v>
      </c>
      <c r="S37" s="23">
        <f t="shared" si="2"/>
        <v>16</v>
      </c>
      <c r="T37" s="23"/>
      <c r="U37" s="23">
        <v>45</v>
      </c>
      <c r="V37" s="23">
        <v>70</v>
      </c>
      <c r="W37" s="23">
        <f t="shared" si="3"/>
        <v>25</v>
      </c>
    </row>
    <row r="38" spans="1:23">
      <c r="A38" s="23">
        <v>4</v>
      </c>
      <c r="B38" s="40" t="s">
        <v>61</v>
      </c>
      <c r="C38" s="23" t="s">
        <v>20</v>
      </c>
      <c r="D38" s="23">
        <v>37</v>
      </c>
      <c r="E38" s="23">
        <v>23</v>
      </c>
      <c r="F38" s="23" t="s">
        <v>21</v>
      </c>
      <c r="G38" s="23" t="s">
        <v>25</v>
      </c>
      <c r="H38" s="23">
        <v>30</v>
      </c>
      <c r="I38" s="23">
        <v>0</v>
      </c>
      <c r="J38" s="23">
        <v>12</v>
      </c>
      <c r="K38" s="23">
        <f t="shared" si="0"/>
        <v>12</v>
      </c>
      <c r="L38" s="23"/>
      <c r="M38" s="23">
        <v>0</v>
      </c>
      <c r="N38" s="25">
        <v>2</v>
      </c>
      <c r="O38" s="23">
        <f t="shared" si="1"/>
        <v>2</v>
      </c>
      <c r="P38" s="23"/>
      <c r="Q38" s="23">
        <v>0</v>
      </c>
      <c r="R38" s="25">
        <v>4</v>
      </c>
      <c r="S38" s="23">
        <f t="shared" si="2"/>
        <v>4</v>
      </c>
      <c r="T38" s="23"/>
      <c r="U38" s="23">
        <v>45</v>
      </c>
      <c r="V38" s="23">
        <v>60</v>
      </c>
      <c r="W38" s="23">
        <f t="shared" si="3"/>
        <v>15</v>
      </c>
    </row>
    <row r="39" spans="1:23">
      <c r="A39" s="23">
        <v>4</v>
      </c>
      <c r="B39" s="40" t="s">
        <v>62</v>
      </c>
      <c r="C39" s="23" t="s">
        <v>20</v>
      </c>
      <c r="D39" s="23">
        <v>43</v>
      </c>
      <c r="E39" s="23">
        <v>36</v>
      </c>
      <c r="F39" s="23" t="s">
        <v>21</v>
      </c>
      <c r="G39" s="23" t="s">
        <v>22</v>
      </c>
      <c r="H39" s="23">
        <v>30</v>
      </c>
      <c r="I39" s="23">
        <v>28</v>
      </c>
      <c r="J39" s="23">
        <v>28</v>
      </c>
      <c r="K39" s="23">
        <f t="shared" si="0"/>
        <v>0</v>
      </c>
      <c r="L39" s="23"/>
      <c r="M39" s="23">
        <v>13</v>
      </c>
      <c r="N39" s="25">
        <v>14</v>
      </c>
      <c r="O39" s="23">
        <f t="shared" si="1"/>
        <v>1</v>
      </c>
      <c r="P39" s="23"/>
      <c r="Q39" s="23">
        <v>26</v>
      </c>
      <c r="R39" s="25">
        <v>28</v>
      </c>
      <c r="S39" s="23">
        <f t="shared" si="2"/>
        <v>2</v>
      </c>
      <c r="T39" s="23"/>
      <c r="U39" s="23">
        <v>45</v>
      </c>
      <c r="V39" s="23">
        <v>60</v>
      </c>
      <c r="W39" s="23">
        <f t="shared" si="3"/>
        <v>15</v>
      </c>
    </row>
    <row r="40" spans="1:23">
      <c r="A40" s="23">
        <v>2</v>
      </c>
      <c r="B40" s="41" t="s">
        <v>63</v>
      </c>
      <c r="C40" s="23" t="s">
        <v>20</v>
      </c>
      <c r="D40" s="23">
        <v>67</v>
      </c>
      <c r="E40" s="23">
        <v>11</v>
      </c>
      <c r="F40" s="23" t="s">
        <v>21</v>
      </c>
      <c r="G40" s="23" t="s">
        <v>22</v>
      </c>
      <c r="H40" s="23">
        <v>27</v>
      </c>
      <c r="I40" s="23">
        <v>5</v>
      </c>
      <c r="J40" s="23">
        <v>10</v>
      </c>
      <c r="K40" s="23">
        <f t="shared" si="0"/>
        <v>5</v>
      </c>
      <c r="L40" s="23"/>
      <c r="M40" s="23">
        <v>0</v>
      </c>
      <c r="N40" s="25">
        <v>0</v>
      </c>
      <c r="O40" s="23">
        <f t="shared" si="1"/>
        <v>0</v>
      </c>
      <c r="P40" s="23"/>
      <c r="Q40" s="23">
        <v>0</v>
      </c>
      <c r="R40" s="25">
        <v>0</v>
      </c>
      <c r="S40" s="23">
        <f t="shared" si="2"/>
        <v>0</v>
      </c>
      <c r="T40" s="23"/>
      <c r="U40" s="23">
        <v>50</v>
      </c>
      <c r="V40" s="23">
        <v>55</v>
      </c>
      <c r="W40" s="23">
        <f t="shared" si="3"/>
        <v>5</v>
      </c>
    </row>
    <row r="41" spans="1:23">
      <c r="A41" s="23">
        <v>4</v>
      </c>
      <c r="B41" s="41" t="s">
        <v>64</v>
      </c>
      <c r="C41" s="23" t="s">
        <v>20</v>
      </c>
      <c r="D41" s="23">
        <v>73</v>
      </c>
      <c r="E41" s="23">
        <v>38</v>
      </c>
      <c r="F41" s="23" t="s">
        <v>21</v>
      </c>
      <c r="G41" s="23" t="s">
        <v>22</v>
      </c>
      <c r="H41" s="23">
        <v>27</v>
      </c>
      <c r="I41" s="23">
        <v>16</v>
      </c>
      <c r="J41" s="23">
        <v>28</v>
      </c>
      <c r="K41" s="23">
        <f t="shared" si="0"/>
        <v>12</v>
      </c>
      <c r="L41" s="23"/>
      <c r="M41" s="23">
        <v>4</v>
      </c>
      <c r="N41" s="25">
        <v>12</v>
      </c>
      <c r="O41" s="23">
        <f t="shared" si="1"/>
        <v>8</v>
      </c>
      <c r="P41" s="23"/>
      <c r="Q41" s="23">
        <v>6</v>
      </c>
      <c r="R41" s="25">
        <v>22</v>
      </c>
      <c r="S41" s="23">
        <f t="shared" si="2"/>
        <v>16</v>
      </c>
      <c r="T41" s="23"/>
      <c r="U41" s="23">
        <v>55</v>
      </c>
      <c r="V41" s="23">
        <v>70</v>
      </c>
      <c r="W41" s="23">
        <f t="shared" si="3"/>
        <v>15</v>
      </c>
    </row>
    <row r="42" spans="1:23">
      <c r="A42" s="23">
        <v>1</v>
      </c>
      <c r="B42" s="40" t="s">
        <v>65</v>
      </c>
      <c r="C42" s="23" t="s">
        <v>20</v>
      </c>
      <c r="D42" s="23">
        <v>61</v>
      </c>
      <c r="E42" s="23">
        <v>78</v>
      </c>
      <c r="F42" s="23" t="s">
        <v>24</v>
      </c>
      <c r="G42" s="23" t="s">
        <v>25</v>
      </c>
      <c r="H42" s="23">
        <v>29</v>
      </c>
      <c r="I42" s="23">
        <v>12</v>
      </c>
      <c r="J42" s="23">
        <v>12</v>
      </c>
      <c r="K42" s="23">
        <f t="shared" si="0"/>
        <v>0</v>
      </c>
      <c r="L42" s="23"/>
      <c r="M42" s="23">
        <v>0</v>
      </c>
      <c r="N42" s="25">
        <v>2</v>
      </c>
      <c r="O42" s="23">
        <f t="shared" si="1"/>
        <v>2</v>
      </c>
      <c r="P42" s="23"/>
      <c r="Q42" s="23">
        <v>0</v>
      </c>
      <c r="R42" s="25">
        <v>3</v>
      </c>
      <c r="S42" s="23">
        <f t="shared" si="2"/>
        <v>3</v>
      </c>
      <c r="T42" s="23"/>
      <c r="U42" s="23">
        <v>45</v>
      </c>
      <c r="V42" s="23">
        <v>55</v>
      </c>
      <c r="W42" s="23">
        <f t="shared" si="3"/>
        <v>10</v>
      </c>
    </row>
    <row r="43" spans="1:23">
      <c r="A43" s="23">
        <v>1</v>
      </c>
      <c r="B43" s="40" t="s">
        <v>66</v>
      </c>
      <c r="C43" s="23" t="s">
        <v>28</v>
      </c>
      <c r="D43" s="23">
        <v>58</v>
      </c>
      <c r="E43" s="23">
        <v>47</v>
      </c>
      <c r="F43" s="23" t="s">
        <v>24</v>
      </c>
      <c r="G43" s="23" t="s">
        <v>22</v>
      </c>
      <c r="H43" s="23">
        <v>20</v>
      </c>
      <c r="I43" s="23">
        <v>4</v>
      </c>
      <c r="J43" s="23">
        <v>4</v>
      </c>
      <c r="K43" s="23">
        <f t="shared" si="0"/>
        <v>0</v>
      </c>
      <c r="L43" s="23"/>
      <c r="M43" s="23">
        <v>0</v>
      </c>
      <c r="N43" s="25">
        <v>5</v>
      </c>
      <c r="O43" s="23">
        <f t="shared" si="1"/>
        <v>5</v>
      </c>
      <c r="P43" s="23"/>
      <c r="Q43" s="23">
        <v>0</v>
      </c>
      <c r="R43" s="25">
        <v>0</v>
      </c>
      <c r="S43" s="23">
        <f t="shared" si="2"/>
        <v>0</v>
      </c>
      <c r="T43" s="23"/>
      <c r="U43" s="23">
        <v>25</v>
      </c>
      <c r="V43" s="23">
        <v>45</v>
      </c>
      <c r="W43" s="23">
        <f t="shared" si="3"/>
        <v>20</v>
      </c>
    </row>
    <row r="44" spans="1:23">
      <c r="A44" s="23">
        <v>1</v>
      </c>
      <c r="B44" s="40" t="s">
        <v>67</v>
      </c>
      <c r="C44" s="23" t="s">
        <v>20</v>
      </c>
      <c r="D44" s="23">
        <v>67</v>
      </c>
      <c r="E44" s="23">
        <v>67</v>
      </c>
      <c r="F44" s="23" t="s">
        <v>21</v>
      </c>
      <c r="G44" s="23" t="s">
        <v>22</v>
      </c>
      <c r="H44" s="23">
        <v>27</v>
      </c>
      <c r="I44" s="23">
        <v>0</v>
      </c>
      <c r="J44" s="23">
        <v>6</v>
      </c>
      <c r="K44" s="23">
        <f t="shared" si="0"/>
        <v>6</v>
      </c>
      <c r="L44" s="23"/>
      <c r="M44" s="23">
        <v>0</v>
      </c>
      <c r="N44" s="25">
        <v>5</v>
      </c>
      <c r="O44" s="23">
        <f t="shared" si="1"/>
        <v>5</v>
      </c>
      <c r="P44" s="23"/>
      <c r="Q44" s="23">
        <v>0</v>
      </c>
      <c r="R44" s="25">
        <v>10</v>
      </c>
      <c r="S44" s="23">
        <f t="shared" si="2"/>
        <v>10</v>
      </c>
      <c r="T44" s="23"/>
      <c r="U44" s="23">
        <v>30</v>
      </c>
      <c r="V44" s="23">
        <v>55</v>
      </c>
      <c r="W44" s="23">
        <f t="shared" si="3"/>
        <v>25</v>
      </c>
    </row>
    <row r="45" spans="1:23">
      <c r="A45" s="23">
        <v>4</v>
      </c>
      <c r="B45" s="41" t="s">
        <v>68</v>
      </c>
      <c r="C45" s="23" t="s">
        <v>20</v>
      </c>
      <c r="D45" s="23">
        <v>63</v>
      </c>
      <c r="E45" s="23">
        <v>9</v>
      </c>
      <c r="F45" s="23" t="s">
        <v>24</v>
      </c>
      <c r="G45" s="23" t="s">
        <v>69</v>
      </c>
      <c r="H45" s="23">
        <v>29</v>
      </c>
      <c r="I45" s="23">
        <v>23</v>
      </c>
      <c r="J45" s="23">
        <v>30</v>
      </c>
      <c r="K45" s="23">
        <f t="shared" si="0"/>
        <v>7</v>
      </c>
      <c r="L45" s="23"/>
      <c r="M45" s="23">
        <v>5</v>
      </c>
      <c r="N45" s="25">
        <v>20</v>
      </c>
      <c r="O45" s="23">
        <f t="shared" si="1"/>
        <v>15</v>
      </c>
      <c r="P45" s="23"/>
      <c r="Q45" s="23">
        <v>15</v>
      </c>
      <c r="R45" s="25">
        <v>46</v>
      </c>
      <c r="S45" s="23">
        <f t="shared" si="2"/>
        <v>31</v>
      </c>
      <c r="T45" s="23"/>
      <c r="U45" s="23">
        <v>70</v>
      </c>
      <c r="V45" s="23">
        <v>95</v>
      </c>
      <c r="W45" s="23">
        <f t="shared" si="3"/>
        <v>25</v>
      </c>
    </row>
    <row r="46" spans="1:23">
      <c r="A46" s="23">
        <v>2</v>
      </c>
      <c r="B46" s="41" t="s">
        <v>70</v>
      </c>
      <c r="C46" s="23" t="s">
        <v>20</v>
      </c>
      <c r="D46" s="23">
        <v>70</v>
      </c>
      <c r="E46" s="23">
        <v>75</v>
      </c>
      <c r="F46" s="23" t="s">
        <v>24</v>
      </c>
      <c r="G46" s="23" t="s">
        <v>22</v>
      </c>
      <c r="H46" s="23">
        <v>25</v>
      </c>
      <c r="I46" s="23">
        <v>4</v>
      </c>
      <c r="J46" s="23">
        <v>8</v>
      </c>
      <c r="K46" s="23">
        <f t="shared" si="0"/>
        <v>4</v>
      </c>
      <c r="L46" s="23"/>
      <c r="M46" s="23">
        <v>1</v>
      </c>
      <c r="N46" s="25">
        <v>7</v>
      </c>
      <c r="O46" s="23">
        <f t="shared" si="1"/>
        <v>6</v>
      </c>
      <c r="P46" s="23"/>
      <c r="Q46" s="23">
        <v>2</v>
      </c>
      <c r="R46" s="25">
        <v>9</v>
      </c>
      <c r="S46" s="23">
        <f t="shared" si="2"/>
        <v>7</v>
      </c>
      <c r="T46" s="23"/>
      <c r="U46" s="23">
        <v>45</v>
      </c>
      <c r="V46" s="23">
        <v>60</v>
      </c>
      <c r="W46" s="23">
        <f t="shared" si="3"/>
        <v>15</v>
      </c>
    </row>
    <row r="47" spans="1:23">
      <c r="A47" s="30">
        <v>1</v>
      </c>
      <c r="B47" s="45" t="s">
        <v>71</v>
      </c>
      <c r="C47" s="30" t="s">
        <v>20</v>
      </c>
      <c r="D47" s="30">
        <v>60</v>
      </c>
      <c r="E47" s="30">
        <v>82</v>
      </c>
      <c r="F47" s="30" t="s">
        <v>21</v>
      </c>
      <c r="G47" s="30" t="s">
        <v>22</v>
      </c>
      <c r="H47" s="30">
        <v>25</v>
      </c>
      <c r="I47" s="30">
        <v>5</v>
      </c>
      <c r="J47" s="30">
        <v>10</v>
      </c>
      <c r="K47" s="23">
        <f t="shared" si="0"/>
        <v>5</v>
      </c>
      <c r="L47" s="30"/>
      <c r="M47" s="30">
        <v>0</v>
      </c>
      <c r="N47" s="30">
        <v>3</v>
      </c>
      <c r="O47" s="23">
        <f t="shared" si="1"/>
        <v>3</v>
      </c>
      <c r="P47" s="30"/>
      <c r="Q47" s="30">
        <v>4</v>
      </c>
      <c r="R47" s="30">
        <v>4</v>
      </c>
      <c r="S47" s="23">
        <f t="shared" si="2"/>
        <v>0</v>
      </c>
      <c r="T47" s="30"/>
      <c r="U47" s="30">
        <v>30</v>
      </c>
      <c r="V47" s="30">
        <v>30</v>
      </c>
      <c r="W47" s="23">
        <f t="shared" si="3"/>
        <v>0</v>
      </c>
    </row>
    <row r="48" spans="1:23">
      <c r="A48" s="30">
        <v>1</v>
      </c>
      <c r="B48" s="45" t="s">
        <v>72</v>
      </c>
      <c r="C48" s="30" t="s">
        <v>20</v>
      </c>
      <c r="D48" s="30">
        <v>63</v>
      </c>
      <c r="E48" s="30">
        <v>8</v>
      </c>
      <c r="F48" s="30" t="s">
        <v>21</v>
      </c>
      <c r="G48" s="30" t="s">
        <v>22</v>
      </c>
      <c r="H48" s="30">
        <v>29</v>
      </c>
      <c r="I48" s="30">
        <v>9</v>
      </c>
      <c r="J48" s="30">
        <v>22</v>
      </c>
      <c r="K48" s="23">
        <f t="shared" si="0"/>
        <v>13</v>
      </c>
      <c r="L48" s="30"/>
      <c r="M48" s="30">
        <v>0</v>
      </c>
      <c r="N48" s="30">
        <v>1</v>
      </c>
      <c r="O48" s="23">
        <f t="shared" si="1"/>
        <v>1</v>
      </c>
      <c r="P48" s="30"/>
      <c r="Q48" s="30">
        <v>0</v>
      </c>
      <c r="R48" s="30">
        <v>2</v>
      </c>
      <c r="S48" s="23">
        <f t="shared" si="2"/>
        <v>2</v>
      </c>
      <c r="T48" s="30"/>
      <c r="U48" s="30">
        <v>55</v>
      </c>
      <c r="V48" s="30">
        <v>70</v>
      </c>
      <c r="W48" s="23">
        <f t="shared" si="3"/>
        <v>15</v>
      </c>
    </row>
    <row r="49" spans="1:23">
      <c r="A49" s="30">
        <v>4</v>
      </c>
      <c r="B49" s="45" t="s">
        <v>73</v>
      </c>
      <c r="C49" s="30" t="s">
        <v>28</v>
      </c>
      <c r="D49" s="30">
        <v>72</v>
      </c>
      <c r="E49" s="30">
        <v>26</v>
      </c>
      <c r="F49" s="30" t="s">
        <v>24</v>
      </c>
      <c r="G49" s="30" t="s">
        <v>22</v>
      </c>
      <c r="H49" s="30">
        <v>26</v>
      </c>
      <c r="I49" s="30">
        <v>12</v>
      </c>
      <c r="J49" s="30">
        <v>28</v>
      </c>
      <c r="K49" s="23">
        <f t="shared" si="0"/>
        <v>16</v>
      </c>
      <c r="L49" s="30"/>
      <c r="M49" s="30">
        <v>0</v>
      </c>
      <c r="N49" s="30">
        <v>19</v>
      </c>
      <c r="O49" s="23">
        <f t="shared" si="1"/>
        <v>19</v>
      </c>
      <c r="P49" s="30"/>
      <c r="Q49" s="30">
        <v>6</v>
      </c>
      <c r="R49" s="30">
        <v>42</v>
      </c>
      <c r="S49" s="23">
        <f t="shared" si="2"/>
        <v>36</v>
      </c>
      <c r="T49" s="30"/>
      <c r="U49" s="30">
        <v>50</v>
      </c>
      <c r="V49" s="30">
        <v>65</v>
      </c>
      <c r="W49" s="23">
        <f t="shared" si="3"/>
        <v>15</v>
      </c>
    </row>
    <row r="50" spans="1:23">
      <c r="A50" s="23">
        <v>3</v>
      </c>
      <c r="B50" s="46" t="s">
        <v>74</v>
      </c>
      <c r="C50" s="23" t="s">
        <v>20</v>
      </c>
      <c r="D50" s="23">
        <v>41</v>
      </c>
      <c r="E50" s="23">
        <v>11</v>
      </c>
      <c r="F50" s="23" t="s">
        <v>21</v>
      </c>
      <c r="G50" s="23" t="s">
        <v>22</v>
      </c>
      <c r="H50" s="23">
        <v>29</v>
      </c>
      <c r="I50" s="23">
        <v>0</v>
      </c>
      <c r="J50" s="23">
        <v>16</v>
      </c>
      <c r="K50" s="23">
        <f t="shared" si="0"/>
        <v>16</v>
      </c>
      <c r="L50" s="23"/>
      <c r="M50" s="23">
        <v>2</v>
      </c>
      <c r="N50" s="25">
        <v>2</v>
      </c>
      <c r="O50" s="23">
        <f t="shared" si="1"/>
        <v>0</v>
      </c>
      <c r="P50" s="23"/>
      <c r="Q50" s="23">
        <v>0</v>
      </c>
      <c r="R50" s="25">
        <v>1</v>
      </c>
      <c r="S50" s="23">
        <f t="shared" si="2"/>
        <v>1</v>
      </c>
      <c r="T50" s="23"/>
      <c r="U50" s="23">
        <v>75</v>
      </c>
      <c r="V50" s="23">
        <v>80</v>
      </c>
      <c r="W50" s="23">
        <f t="shared" si="3"/>
        <v>5</v>
      </c>
    </row>
    <row r="51" spans="1:23">
      <c r="A51" s="23">
        <v>2</v>
      </c>
      <c r="B51" s="45" t="s">
        <v>75</v>
      </c>
      <c r="C51" s="23" t="s">
        <v>20</v>
      </c>
      <c r="D51" s="23">
        <v>56</v>
      </c>
      <c r="E51" s="23">
        <v>95</v>
      </c>
      <c r="F51" s="23" t="s">
        <v>21</v>
      </c>
      <c r="G51" s="23" t="s">
        <v>22</v>
      </c>
      <c r="H51" s="23">
        <v>30</v>
      </c>
      <c r="I51" s="23">
        <v>0</v>
      </c>
      <c r="J51" s="23">
        <v>5</v>
      </c>
      <c r="K51" s="23">
        <f t="shared" si="0"/>
        <v>5</v>
      </c>
      <c r="L51" s="23"/>
      <c r="M51" s="23">
        <v>2</v>
      </c>
      <c r="N51" s="25">
        <v>2</v>
      </c>
      <c r="O51" s="23">
        <f t="shared" si="1"/>
        <v>0</v>
      </c>
      <c r="P51" s="23"/>
      <c r="Q51" s="23">
        <v>0</v>
      </c>
      <c r="R51" s="25">
        <v>0</v>
      </c>
      <c r="S51" s="23">
        <f t="shared" si="2"/>
        <v>0</v>
      </c>
      <c r="T51" s="23"/>
      <c r="U51" s="23">
        <v>55</v>
      </c>
      <c r="V51" s="23">
        <v>60</v>
      </c>
      <c r="W51" s="23">
        <f t="shared" si="3"/>
        <v>5</v>
      </c>
    </row>
    <row r="52" spans="1:23">
      <c r="A52" s="30">
        <v>4</v>
      </c>
      <c r="B52" s="45" t="s">
        <v>76</v>
      </c>
      <c r="C52" s="30" t="s">
        <v>20</v>
      </c>
      <c r="D52" s="30">
        <v>68</v>
      </c>
      <c r="E52" s="30">
        <v>8</v>
      </c>
      <c r="F52" s="30" t="s">
        <v>24</v>
      </c>
      <c r="G52" s="30" t="s">
        <v>22</v>
      </c>
      <c r="H52" s="30">
        <v>24</v>
      </c>
      <c r="I52" s="30">
        <v>15</v>
      </c>
      <c r="J52" s="30">
        <v>28</v>
      </c>
      <c r="K52" s="23">
        <f t="shared" si="0"/>
        <v>13</v>
      </c>
      <c r="L52" s="30"/>
      <c r="M52" s="30">
        <v>7</v>
      </c>
      <c r="N52" s="30">
        <v>16</v>
      </c>
      <c r="O52" s="23">
        <f t="shared" si="1"/>
        <v>9</v>
      </c>
      <c r="P52" s="30"/>
      <c r="Q52" s="30">
        <v>10</v>
      </c>
      <c r="R52" s="30">
        <v>26</v>
      </c>
      <c r="S52" s="23">
        <f t="shared" si="2"/>
        <v>16</v>
      </c>
      <c r="T52" s="30"/>
      <c r="U52" s="30">
        <v>60</v>
      </c>
      <c r="V52" s="30">
        <v>75</v>
      </c>
      <c r="W52" s="23">
        <f t="shared" si="3"/>
        <v>15</v>
      </c>
    </row>
    <row r="53" spans="1:23">
      <c r="A53" s="23">
        <v>3</v>
      </c>
      <c r="B53" s="45" t="s">
        <v>77</v>
      </c>
      <c r="C53" s="23" t="s">
        <v>28</v>
      </c>
      <c r="D53" s="23">
        <v>33</v>
      </c>
      <c r="E53" s="23">
        <v>29</v>
      </c>
      <c r="F53" s="23" t="s">
        <v>24</v>
      </c>
      <c r="G53" s="23" t="s">
        <v>25</v>
      </c>
      <c r="H53" s="23">
        <v>28</v>
      </c>
      <c r="I53" s="23">
        <v>4</v>
      </c>
      <c r="J53" s="23">
        <v>8</v>
      </c>
      <c r="K53" s="23">
        <f t="shared" si="0"/>
        <v>4</v>
      </c>
      <c r="L53" s="23"/>
      <c r="M53" s="23">
        <v>0</v>
      </c>
      <c r="N53" s="25">
        <v>2</v>
      </c>
      <c r="O53" s="23">
        <f t="shared" si="1"/>
        <v>2</v>
      </c>
      <c r="P53" s="23"/>
      <c r="Q53" s="23">
        <v>0</v>
      </c>
      <c r="R53" s="25">
        <v>0</v>
      </c>
      <c r="S53" s="23">
        <f t="shared" si="2"/>
        <v>0</v>
      </c>
      <c r="T53" s="23"/>
      <c r="U53" s="23">
        <v>45</v>
      </c>
      <c r="V53" s="23">
        <v>55</v>
      </c>
      <c r="W53" s="23">
        <f t="shared" si="3"/>
        <v>10</v>
      </c>
    </row>
    <row r="54" spans="1:23">
      <c r="A54" s="23">
        <v>1</v>
      </c>
      <c r="B54" s="47" t="s">
        <v>78</v>
      </c>
      <c r="C54" s="23" t="s">
        <v>20</v>
      </c>
      <c r="D54" s="23">
        <v>72</v>
      </c>
      <c r="E54" s="23">
        <v>24</v>
      </c>
      <c r="F54" s="23" t="s">
        <v>21</v>
      </c>
      <c r="G54" s="23" t="s">
        <v>25</v>
      </c>
      <c r="H54" s="23">
        <v>22</v>
      </c>
      <c r="I54" s="23">
        <v>6</v>
      </c>
      <c r="J54" s="23">
        <v>8</v>
      </c>
      <c r="K54" s="23">
        <f t="shared" si="0"/>
        <v>2</v>
      </c>
      <c r="L54" s="23"/>
      <c r="M54" s="23">
        <v>0</v>
      </c>
      <c r="N54" s="25">
        <v>0</v>
      </c>
      <c r="O54" s="23">
        <f t="shared" si="1"/>
        <v>0</v>
      </c>
      <c r="P54" s="23"/>
      <c r="Q54" s="23">
        <v>0</v>
      </c>
      <c r="R54" s="25">
        <v>0</v>
      </c>
      <c r="S54" s="23">
        <f t="shared" si="2"/>
        <v>0</v>
      </c>
      <c r="T54" s="23"/>
      <c r="U54" s="23">
        <v>20</v>
      </c>
      <c r="V54" s="23">
        <v>45</v>
      </c>
      <c r="W54" s="23">
        <f t="shared" si="3"/>
        <v>25</v>
      </c>
    </row>
    <row r="55" spans="1:23">
      <c r="A55" s="23">
        <v>2</v>
      </c>
      <c r="B55" s="48" t="s">
        <v>79</v>
      </c>
      <c r="C55" s="23" t="s">
        <v>20</v>
      </c>
      <c r="D55" s="23">
        <v>55</v>
      </c>
      <c r="E55" s="23">
        <v>19</v>
      </c>
      <c r="F55" s="23" t="s">
        <v>21</v>
      </c>
      <c r="G55" s="23" t="s">
        <v>25</v>
      </c>
      <c r="H55" s="23">
        <v>28</v>
      </c>
      <c r="I55" s="23">
        <v>8</v>
      </c>
      <c r="J55" s="23">
        <v>1</v>
      </c>
      <c r="K55" s="23">
        <f t="shared" si="0"/>
        <v>-7</v>
      </c>
      <c r="L55" s="23"/>
      <c r="M55" s="23">
        <v>0</v>
      </c>
      <c r="N55" s="25">
        <v>6</v>
      </c>
      <c r="O55" s="23">
        <f t="shared" si="1"/>
        <v>6</v>
      </c>
      <c r="P55" s="23"/>
      <c r="Q55" s="23">
        <v>0</v>
      </c>
      <c r="R55" s="25">
        <v>4</v>
      </c>
      <c r="S55" s="23">
        <f t="shared" si="2"/>
        <v>4</v>
      </c>
      <c r="T55" s="23"/>
      <c r="U55" s="23">
        <v>50</v>
      </c>
      <c r="V55" s="23">
        <v>75</v>
      </c>
      <c r="W55" s="23">
        <f t="shared" si="3"/>
        <v>25</v>
      </c>
    </row>
    <row r="56" spans="1:23">
      <c r="A56" s="30">
        <v>4</v>
      </c>
      <c r="B56" t="s">
        <v>80</v>
      </c>
      <c r="C56" s="30" t="s">
        <v>20</v>
      </c>
      <c r="D56" s="30">
        <v>50</v>
      </c>
      <c r="E56" s="30">
        <v>8</v>
      </c>
      <c r="F56" s="30" t="s">
        <v>21</v>
      </c>
      <c r="G56" s="30" t="s">
        <v>22</v>
      </c>
      <c r="H56" s="30">
        <v>30</v>
      </c>
      <c r="I56" s="30">
        <v>18</v>
      </c>
      <c r="J56" s="30">
        <v>30</v>
      </c>
      <c r="K56" s="23">
        <f t="shared" si="0"/>
        <v>12</v>
      </c>
      <c r="L56" s="30"/>
      <c r="M56" s="30">
        <v>6</v>
      </c>
      <c r="N56" s="30">
        <v>26</v>
      </c>
      <c r="O56" s="23">
        <f t="shared" si="1"/>
        <v>20</v>
      </c>
      <c r="P56" s="30"/>
      <c r="Q56" s="30">
        <v>38</v>
      </c>
      <c r="R56" s="30">
        <v>53</v>
      </c>
      <c r="S56" s="23">
        <f t="shared" si="2"/>
        <v>15</v>
      </c>
      <c r="T56" s="30"/>
      <c r="U56" s="30">
        <v>55</v>
      </c>
      <c r="V56" s="30">
        <v>75</v>
      </c>
      <c r="W56" s="23">
        <f t="shared" si="3"/>
        <v>20</v>
      </c>
    </row>
    <row r="57" spans="1:23">
      <c r="A57" s="23">
        <v>3</v>
      </c>
      <c r="B57" s="48" t="s">
        <v>81</v>
      </c>
      <c r="C57" s="23" t="s">
        <v>28</v>
      </c>
      <c r="D57" s="23">
        <v>76</v>
      </c>
      <c r="E57" s="23">
        <v>11</v>
      </c>
      <c r="F57" s="23" t="s">
        <v>24</v>
      </c>
      <c r="G57" s="23" t="s">
        <v>22</v>
      </c>
      <c r="H57" s="23">
        <v>28</v>
      </c>
      <c r="I57" s="23">
        <v>6</v>
      </c>
      <c r="J57" s="23">
        <v>18</v>
      </c>
      <c r="K57" s="23">
        <f t="shared" si="0"/>
        <v>12</v>
      </c>
      <c r="L57" s="23"/>
      <c r="M57" s="23">
        <v>0</v>
      </c>
      <c r="N57" s="25">
        <v>1</v>
      </c>
      <c r="O57" s="23">
        <f t="shared" si="1"/>
        <v>1</v>
      </c>
      <c r="P57" s="23"/>
      <c r="Q57" s="23">
        <v>0</v>
      </c>
      <c r="R57" s="25">
        <v>2</v>
      </c>
      <c r="S57" s="23">
        <f t="shared" si="2"/>
        <v>2</v>
      </c>
      <c r="T57" s="23"/>
      <c r="U57" s="23">
        <v>60</v>
      </c>
      <c r="V57" s="23">
        <v>60</v>
      </c>
      <c r="W57" s="23">
        <f t="shared" si="3"/>
        <v>0</v>
      </c>
    </row>
    <row r="58" spans="1:23">
      <c r="A58" s="23">
        <v>1</v>
      </c>
      <c r="B58" t="s">
        <v>82</v>
      </c>
      <c r="C58" s="23" t="s">
        <v>20</v>
      </c>
      <c r="D58" s="23">
        <v>61</v>
      </c>
      <c r="E58" s="23">
        <v>7</v>
      </c>
      <c r="F58" s="23" t="s">
        <v>24</v>
      </c>
      <c r="G58" s="23" t="s">
        <v>22</v>
      </c>
      <c r="H58" s="23">
        <v>22</v>
      </c>
      <c r="I58" s="23">
        <v>14</v>
      </c>
      <c r="J58" s="23">
        <v>15</v>
      </c>
      <c r="K58" s="23">
        <f t="shared" si="0"/>
        <v>1</v>
      </c>
      <c r="L58" s="23"/>
      <c r="M58" s="23">
        <v>4</v>
      </c>
      <c r="N58" s="25">
        <v>5</v>
      </c>
      <c r="O58" s="23">
        <f t="shared" si="1"/>
        <v>1</v>
      </c>
      <c r="P58" s="23"/>
      <c r="Q58" s="23">
        <v>6</v>
      </c>
      <c r="R58" s="25">
        <v>10</v>
      </c>
      <c r="S58" s="23">
        <f t="shared" si="2"/>
        <v>4</v>
      </c>
      <c r="T58" s="23"/>
      <c r="U58" s="23">
        <v>50</v>
      </c>
      <c r="V58" s="23">
        <v>55</v>
      </c>
      <c r="W58" s="23">
        <f t="shared" si="3"/>
        <v>5</v>
      </c>
    </row>
    <row r="59" spans="1:23">
      <c r="A59" s="23">
        <v>2</v>
      </c>
      <c r="B59" t="s">
        <v>83</v>
      </c>
      <c r="C59" s="23" t="s">
        <v>20</v>
      </c>
      <c r="D59" s="23">
        <v>75</v>
      </c>
      <c r="E59" s="23">
        <v>7</v>
      </c>
      <c r="F59" s="23" t="s">
        <v>21</v>
      </c>
      <c r="G59" s="23" t="s">
        <v>22</v>
      </c>
      <c r="H59" s="23">
        <v>23</v>
      </c>
      <c r="I59" s="23">
        <v>12</v>
      </c>
      <c r="J59" s="23">
        <v>16</v>
      </c>
      <c r="K59" s="23">
        <f t="shared" si="0"/>
        <v>4</v>
      </c>
      <c r="L59" s="23"/>
      <c r="M59" s="23">
        <v>0</v>
      </c>
      <c r="N59" s="25">
        <v>1</v>
      </c>
      <c r="O59" s="23">
        <f t="shared" si="1"/>
        <v>1</v>
      </c>
      <c r="P59" s="23"/>
      <c r="Q59" s="23">
        <v>0</v>
      </c>
      <c r="R59" s="25">
        <v>2</v>
      </c>
      <c r="S59" s="23">
        <f t="shared" si="2"/>
        <v>2</v>
      </c>
      <c r="T59" s="23"/>
      <c r="U59" s="23">
        <v>45</v>
      </c>
      <c r="V59" s="23">
        <v>55</v>
      </c>
      <c r="W59" s="23">
        <f t="shared" si="3"/>
        <v>10</v>
      </c>
    </row>
    <row r="60" spans="1:23">
      <c r="A60" s="23">
        <v>3</v>
      </c>
      <c r="B60" t="s">
        <v>84</v>
      </c>
      <c r="C60" s="23" t="s">
        <v>28</v>
      </c>
      <c r="D60" s="23">
        <v>74</v>
      </c>
      <c r="E60" s="23">
        <v>18</v>
      </c>
      <c r="F60" s="23" t="s">
        <v>21</v>
      </c>
      <c r="G60" s="23" t="s">
        <v>22</v>
      </c>
      <c r="H60" s="23">
        <v>20</v>
      </c>
      <c r="I60" s="23">
        <v>0</v>
      </c>
      <c r="J60" s="23">
        <v>6</v>
      </c>
      <c r="K60" s="23">
        <f t="shared" si="0"/>
        <v>6</v>
      </c>
      <c r="L60" s="23"/>
      <c r="M60" s="23">
        <v>0</v>
      </c>
      <c r="N60" s="25">
        <v>0</v>
      </c>
      <c r="O60" s="23">
        <f t="shared" si="1"/>
        <v>0</v>
      </c>
      <c r="P60" s="23"/>
      <c r="Q60" s="23">
        <v>0</v>
      </c>
      <c r="R60" s="25">
        <v>0</v>
      </c>
      <c r="S60" s="23">
        <f t="shared" si="2"/>
        <v>0</v>
      </c>
      <c r="T60" s="23"/>
      <c r="U60" s="23">
        <v>45</v>
      </c>
      <c r="V60" s="23">
        <v>60</v>
      </c>
      <c r="W60" s="23">
        <f t="shared" si="3"/>
        <v>15</v>
      </c>
    </row>
    <row r="61" spans="1:23">
      <c r="A61" s="23">
        <v>3</v>
      </c>
      <c r="B61" t="s">
        <v>85</v>
      </c>
      <c r="C61" s="23" t="s">
        <v>28</v>
      </c>
      <c r="D61" s="23">
        <v>78</v>
      </c>
      <c r="E61" s="23">
        <v>24</v>
      </c>
      <c r="F61" s="23" t="s">
        <v>24</v>
      </c>
      <c r="G61" s="23" t="s">
        <v>22</v>
      </c>
      <c r="H61" s="23">
        <v>21</v>
      </c>
      <c r="I61" s="23">
        <v>0</v>
      </c>
      <c r="J61" s="23">
        <v>7</v>
      </c>
      <c r="K61" s="23">
        <f t="shared" si="0"/>
        <v>7</v>
      </c>
      <c r="L61" s="23"/>
      <c r="M61" s="23">
        <v>0</v>
      </c>
      <c r="N61" s="25">
        <v>1</v>
      </c>
      <c r="O61" s="23">
        <f t="shared" si="1"/>
        <v>1</v>
      </c>
      <c r="P61" s="23"/>
      <c r="Q61" s="23">
        <v>0</v>
      </c>
      <c r="R61" s="25">
        <v>2</v>
      </c>
      <c r="S61" s="23">
        <f t="shared" si="2"/>
        <v>2</v>
      </c>
      <c r="T61" s="23"/>
      <c r="U61" s="23">
        <v>20</v>
      </c>
      <c r="V61" s="23">
        <v>40</v>
      </c>
      <c r="W61" s="23">
        <f t="shared" si="3"/>
        <v>20</v>
      </c>
    </row>
    <row r="62" spans="1:23">
      <c r="A62" s="30">
        <v>4</v>
      </c>
      <c r="B62" s="48" t="s">
        <v>86</v>
      </c>
      <c r="C62" s="30" t="s">
        <v>20</v>
      </c>
      <c r="D62" s="30">
        <v>58</v>
      </c>
      <c r="E62" s="30">
        <v>16</v>
      </c>
      <c r="F62" s="30" t="s">
        <v>24</v>
      </c>
      <c r="G62" s="30" t="s">
        <v>22</v>
      </c>
      <c r="H62" s="30">
        <v>30</v>
      </c>
      <c r="I62" s="30">
        <v>0</v>
      </c>
      <c r="J62" s="30">
        <v>33</v>
      </c>
      <c r="K62" s="23">
        <f t="shared" si="0"/>
        <v>33</v>
      </c>
      <c r="L62" s="30"/>
      <c r="M62" s="30">
        <v>6</v>
      </c>
      <c r="N62" s="30">
        <v>26</v>
      </c>
      <c r="O62" s="23">
        <f t="shared" si="1"/>
        <v>20</v>
      </c>
      <c r="P62" s="30"/>
      <c r="Q62" s="30">
        <v>2</v>
      </c>
      <c r="R62" s="30">
        <v>55</v>
      </c>
      <c r="S62" s="23">
        <f t="shared" si="2"/>
        <v>53</v>
      </c>
      <c r="T62" s="30"/>
      <c r="U62" s="30">
        <v>10</v>
      </c>
      <c r="V62" s="30">
        <v>100</v>
      </c>
      <c r="W62" s="23">
        <f t="shared" si="3"/>
        <v>90</v>
      </c>
    </row>
    <row r="63" spans="1:23">
      <c r="A63" s="23">
        <v>2</v>
      </c>
      <c r="B63" t="s">
        <v>87</v>
      </c>
      <c r="C63" s="23" t="s">
        <v>20</v>
      </c>
      <c r="D63" s="23">
        <v>74</v>
      </c>
      <c r="E63" s="23">
        <v>8</v>
      </c>
      <c r="F63" s="23" t="s">
        <v>21</v>
      </c>
      <c r="G63" s="23" t="s">
        <v>22</v>
      </c>
      <c r="H63" s="23">
        <v>22</v>
      </c>
      <c r="I63" s="23">
        <v>0</v>
      </c>
      <c r="J63" s="23">
        <v>15</v>
      </c>
      <c r="K63" s="23">
        <f t="shared" si="0"/>
        <v>15</v>
      </c>
      <c r="L63" s="23"/>
      <c r="M63" s="23">
        <v>0</v>
      </c>
      <c r="N63" s="25">
        <v>2</v>
      </c>
      <c r="O63" s="23">
        <f t="shared" si="1"/>
        <v>2</v>
      </c>
      <c r="P63" s="23"/>
      <c r="Q63" s="23">
        <v>0</v>
      </c>
      <c r="R63" s="25">
        <v>6</v>
      </c>
      <c r="S63" s="23">
        <f t="shared" si="2"/>
        <v>6</v>
      </c>
      <c r="T63" s="23"/>
      <c r="U63" s="23">
        <v>45</v>
      </c>
      <c r="V63" s="23">
        <v>55</v>
      </c>
      <c r="W63" s="23">
        <f t="shared" si="3"/>
        <v>10</v>
      </c>
    </row>
    <row r="64" spans="1:23">
      <c r="A64" s="23">
        <v>1</v>
      </c>
      <c r="B64" t="s">
        <v>88</v>
      </c>
      <c r="C64" s="23" t="s">
        <v>20</v>
      </c>
      <c r="D64" s="23">
        <v>51</v>
      </c>
      <c r="E64" s="23">
        <v>10</v>
      </c>
      <c r="F64" s="23" t="s">
        <v>24</v>
      </c>
      <c r="G64" s="23" t="s">
        <v>22</v>
      </c>
      <c r="H64" s="23">
        <v>30</v>
      </c>
      <c r="I64" s="23">
        <v>15</v>
      </c>
      <c r="J64" s="23">
        <v>16</v>
      </c>
      <c r="K64" s="23">
        <f t="shared" si="0"/>
        <v>1</v>
      </c>
      <c r="L64" s="23"/>
      <c r="M64" s="23">
        <v>1</v>
      </c>
      <c r="N64" s="25">
        <v>3</v>
      </c>
      <c r="O64" s="23">
        <f t="shared" si="1"/>
        <v>2</v>
      </c>
      <c r="P64" s="23"/>
      <c r="Q64" s="23">
        <v>5</v>
      </c>
      <c r="R64" s="25">
        <v>12</v>
      </c>
      <c r="S64" s="23">
        <f t="shared" si="2"/>
        <v>7</v>
      </c>
      <c r="T64" s="23"/>
      <c r="U64" s="23">
        <v>50</v>
      </c>
      <c r="V64" s="23">
        <v>70</v>
      </c>
      <c r="W64" s="23">
        <f t="shared" si="3"/>
        <v>20</v>
      </c>
    </row>
    <row r="65" spans="1:23">
      <c r="A65" s="23">
        <v>3</v>
      </c>
      <c r="B65" t="s">
        <v>89</v>
      </c>
      <c r="C65" s="23" t="s">
        <v>28</v>
      </c>
      <c r="D65" s="23">
        <v>62</v>
      </c>
      <c r="E65" s="23">
        <v>72</v>
      </c>
      <c r="F65" s="23" t="s">
        <v>21</v>
      </c>
      <c r="G65" s="23" t="s">
        <v>22</v>
      </c>
      <c r="H65" s="23">
        <v>26</v>
      </c>
      <c r="I65" s="23">
        <v>5</v>
      </c>
      <c r="J65" s="23">
        <v>9</v>
      </c>
      <c r="K65" s="23">
        <f t="shared" si="0"/>
        <v>4</v>
      </c>
      <c r="L65" s="23"/>
      <c r="M65" s="23">
        <v>0</v>
      </c>
      <c r="N65" s="25">
        <v>1</v>
      </c>
      <c r="O65" s="23">
        <f t="shared" si="1"/>
        <v>1</v>
      </c>
      <c r="P65" s="23"/>
      <c r="Q65" s="23">
        <v>2</v>
      </c>
      <c r="R65" s="25">
        <v>3</v>
      </c>
      <c r="S65" s="23">
        <f t="shared" si="2"/>
        <v>1</v>
      </c>
      <c r="T65" s="23"/>
      <c r="U65" s="23">
        <v>50</v>
      </c>
      <c r="V65" s="23">
        <v>55</v>
      </c>
      <c r="W65" s="23">
        <f t="shared" si="3"/>
        <v>5</v>
      </c>
    </row>
    <row r="66" spans="1:23">
      <c r="A66" s="23">
        <v>2</v>
      </c>
      <c r="B66" s="48" t="s">
        <v>90</v>
      </c>
      <c r="C66" s="23" t="s">
        <v>20</v>
      </c>
      <c r="D66" s="23">
        <v>66</v>
      </c>
      <c r="E66" s="23">
        <v>92</v>
      </c>
      <c r="F66" s="23" t="s">
        <v>21</v>
      </c>
      <c r="G66" s="23" t="s">
        <v>22</v>
      </c>
      <c r="H66" s="23">
        <v>28</v>
      </c>
      <c r="I66" s="23">
        <v>16</v>
      </c>
      <c r="J66" s="23">
        <v>16</v>
      </c>
      <c r="K66" s="23">
        <f t="shared" ref="K66:K81" si="4">J66-I66</f>
        <v>0</v>
      </c>
      <c r="L66" s="23"/>
      <c r="M66" s="23">
        <v>0</v>
      </c>
      <c r="N66" s="25">
        <v>1</v>
      </c>
      <c r="O66" s="23">
        <f t="shared" ref="O66:O81" si="5">N66-M66</f>
        <v>1</v>
      </c>
      <c r="P66" s="23"/>
      <c r="Q66" s="23">
        <v>0</v>
      </c>
      <c r="R66" s="25">
        <v>1</v>
      </c>
      <c r="S66" s="23">
        <f t="shared" ref="S66:S81" si="6">R66-Q66</f>
        <v>1</v>
      </c>
      <c r="T66" s="23"/>
      <c r="U66" s="23">
        <v>55</v>
      </c>
      <c r="V66" s="23">
        <v>65</v>
      </c>
      <c r="W66" s="23">
        <f t="shared" ref="W66:W81" si="7">V66-U66</f>
        <v>10</v>
      </c>
    </row>
    <row r="67" spans="1:23">
      <c r="A67" s="23">
        <v>2</v>
      </c>
      <c r="B67" t="s">
        <v>91</v>
      </c>
      <c r="C67" s="23" t="s">
        <v>28</v>
      </c>
      <c r="D67" s="23">
        <v>71</v>
      </c>
      <c r="E67" s="23">
        <v>8</v>
      </c>
      <c r="F67" s="23" t="s">
        <v>21</v>
      </c>
      <c r="G67" s="23" t="s">
        <v>25</v>
      </c>
      <c r="H67" s="23">
        <v>20</v>
      </c>
      <c r="I67" s="23">
        <v>6</v>
      </c>
      <c r="J67" s="23">
        <v>14</v>
      </c>
      <c r="K67" s="23">
        <f t="shared" si="4"/>
        <v>8</v>
      </c>
      <c r="L67" s="23"/>
      <c r="M67" s="23">
        <v>0</v>
      </c>
      <c r="N67" s="25">
        <v>4</v>
      </c>
      <c r="O67" s="23">
        <f t="shared" si="5"/>
        <v>4</v>
      </c>
      <c r="P67" s="23"/>
      <c r="Q67" s="23">
        <v>1</v>
      </c>
      <c r="R67" s="25">
        <v>11</v>
      </c>
      <c r="S67" s="23">
        <f t="shared" si="6"/>
        <v>10</v>
      </c>
      <c r="T67" s="23"/>
      <c r="U67" s="23">
        <v>10</v>
      </c>
      <c r="V67" s="23">
        <v>15</v>
      </c>
      <c r="W67" s="23">
        <f t="shared" si="7"/>
        <v>5</v>
      </c>
    </row>
    <row r="68" spans="1:23">
      <c r="A68" s="30">
        <v>4</v>
      </c>
      <c r="B68" s="48" t="s">
        <v>92</v>
      </c>
      <c r="C68" s="30" t="s">
        <v>28</v>
      </c>
      <c r="D68" s="30">
        <v>41</v>
      </c>
      <c r="E68" s="30">
        <v>19</v>
      </c>
      <c r="F68" s="30" t="s">
        <v>24</v>
      </c>
      <c r="G68" s="30" t="s">
        <v>25</v>
      </c>
      <c r="H68" s="30">
        <v>20</v>
      </c>
      <c r="I68" s="30">
        <v>4</v>
      </c>
      <c r="J68" s="30">
        <v>6</v>
      </c>
      <c r="K68" s="23">
        <f t="shared" si="4"/>
        <v>2</v>
      </c>
      <c r="L68" s="30"/>
      <c r="M68" s="30">
        <v>0</v>
      </c>
      <c r="N68" s="30">
        <v>0</v>
      </c>
      <c r="O68" s="23">
        <f t="shared" si="5"/>
        <v>0</v>
      </c>
      <c r="P68" s="30"/>
      <c r="Q68" s="30">
        <v>0</v>
      </c>
      <c r="R68" s="30">
        <v>0</v>
      </c>
      <c r="S68" s="23">
        <f t="shared" si="6"/>
        <v>0</v>
      </c>
      <c r="T68" s="30"/>
      <c r="U68" s="30">
        <v>30</v>
      </c>
      <c r="V68" s="30">
        <v>45</v>
      </c>
      <c r="W68" s="23">
        <f t="shared" si="7"/>
        <v>15</v>
      </c>
    </row>
    <row r="69" spans="1:23">
      <c r="A69" s="23">
        <v>2</v>
      </c>
      <c r="B69" s="48" t="s">
        <v>93</v>
      </c>
      <c r="C69" s="23" t="s">
        <v>20</v>
      </c>
      <c r="D69" s="23">
        <v>49</v>
      </c>
      <c r="E69" s="23">
        <v>8</v>
      </c>
      <c r="F69" s="23" t="s">
        <v>24</v>
      </c>
      <c r="G69" s="23" t="s">
        <v>22</v>
      </c>
      <c r="H69" s="23">
        <v>29</v>
      </c>
      <c r="I69" s="23">
        <v>0</v>
      </c>
      <c r="J69" s="23">
        <v>26</v>
      </c>
      <c r="K69" s="23">
        <f t="shared" si="4"/>
        <v>26</v>
      </c>
      <c r="L69" s="23"/>
      <c r="M69" s="23">
        <v>0</v>
      </c>
      <c r="N69" s="25">
        <v>16</v>
      </c>
      <c r="O69" s="23">
        <f t="shared" si="5"/>
        <v>16</v>
      </c>
      <c r="P69" s="23"/>
      <c r="Q69" s="23">
        <v>0</v>
      </c>
      <c r="R69" s="25">
        <v>28</v>
      </c>
      <c r="S69" s="23">
        <f t="shared" si="6"/>
        <v>28</v>
      </c>
      <c r="T69" s="23"/>
      <c r="U69" s="23">
        <v>50</v>
      </c>
      <c r="V69" s="23">
        <v>70</v>
      </c>
      <c r="W69" s="23">
        <f t="shared" si="7"/>
        <v>20</v>
      </c>
    </row>
    <row r="70" spans="1:23">
      <c r="A70" s="23">
        <v>3</v>
      </c>
      <c r="B70" t="s">
        <v>94</v>
      </c>
      <c r="C70" s="23" t="s">
        <v>28</v>
      </c>
      <c r="D70" s="23">
        <v>58</v>
      </c>
      <c r="E70" s="23">
        <v>8</v>
      </c>
      <c r="F70" s="23" t="s">
        <v>24</v>
      </c>
      <c r="G70" s="23" t="s">
        <v>22</v>
      </c>
      <c r="H70" s="23">
        <v>27</v>
      </c>
      <c r="I70" s="23">
        <v>16</v>
      </c>
      <c r="J70" s="23">
        <v>24</v>
      </c>
      <c r="K70" s="23">
        <f t="shared" si="4"/>
        <v>8</v>
      </c>
      <c r="L70" s="23"/>
      <c r="M70" s="23">
        <v>0</v>
      </c>
      <c r="N70" s="25">
        <v>4</v>
      </c>
      <c r="O70" s="23">
        <f t="shared" si="5"/>
        <v>4</v>
      </c>
      <c r="P70" s="23"/>
      <c r="Q70" s="23">
        <v>0</v>
      </c>
      <c r="R70" s="25">
        <v>15</v>
      </c>
      <c r="S70" s="23">
        <f t="shared" si="6"/>
        <v>15</v>
      </c>
      <c r="T70" s="23"/>
      <c r="U70" s="23">
        <v>50</v>
      </c>
      <c r="V70" s="23">
        <v>90</v>
      </c>
      <c r="W70" s="23">
        <f t="shared" si="7"/>
        <v>40</v>
      </c>
    </row>
    <row r="71" spans="1:23">
      <c r="A71" s="23">
        <v>1</v>
      </c>
      <c r="B71" t="s">
        <v>95</v>
      </c>
      <c r="C71" s="23" t="s">
        <v>28</v>
      </c>
      <c r="D71" s="23">
        <v>65</v>
      </c>
      <c r="E71" s="23">
        <v>75</v>
      </c>
      <c r="F71" s="23" t="s">
        <v>21</v>
      </c>
      <c r="G71" s="23" t="s">
        <v>22</v>
      </c>
      <c r="H71" s="23">
        <v>30</v>
      </c>
      <c r="I71" s="23">
        <v>8</v>
      </c>
      <c r="J71" s="23">
        <v>8</v>
      </c>
      <c r="K71" s="23">
        <f t="shared" si="4"/>
        <v>0</v>
      </c>
      <c r="L71" s="23"/>
      <c r="M71" s="23">
        <v>0</v>
      </c>
      <c r="N71" s="25">
        <v>0</v>
      </c>
      <c r="O71" s="23">
        <f t="shared" si="5"/>
        <v>0</v>
      </c>
      <c r="P71" s="23"/>
      <c r="Q71" s="23">
        <v>0</v>
      </c>
      <c r="R71" s="25">
        <v>0</v>
      </c>
      <c r="S71" s="23">
        <f t="shared" si="6"/>
        <v>0</v>
      </c>
      <c r="T71" s="23"/>
      <c r="U71" s="23">
        <v>65</v>
      </c>
      <c r="V71" s="23">
        <v>70</v>
      </c>
      <c r="W71" s="23">
        <f t="shared" si="7"/>
        <v>5</v>
      </c>
    </row>
    <row r="72" spans="1:23">
      <c r="A72" s="23">
        <v>3</v>
      </c>
      <c r="B72" t="s">
        <v>96</v>
      </c>
      <c r="C72" s="23" t="s">
        <v>20</v>
      </c>
      <c r="D72" s="23">
        <v>74</v>
      </c>
      <c r="E72" s="23">
        <v>12</v>
      </c>
      <c r="F72" s="23" t="s">
        <v>21</v>
      </c>
      <c r="G72" s="23" t="s">
        <v>25</v>
      </c>
      <c r="H72" s="23">
        <v>22</v>
      </c>
      <c r="I72" s="23">
        <v>4</v>
      </c>
      <c r="J72" s="23">
        <v>4</v>
      </c>
      <c r="K72" s="23">
        <f t="shared" si="4"/>
        <v>0</v>
      </c>
      <c r="L72" s="23"/>
      <c r="M72" s="23">
        <v>0</v>
      </c>
      <c r="N72" s="25">
        <v>0</v>
      </c>
      <c r="O72" s="23">
        <f t="shared" si="5"/>
        <v>0</v>
      </c>
      <c r="P72" s="23"/>
      <c r="Q72" s="23">
        <v>0</v>
      </c>
      <c r="R72" s="25">
        <v>0</v>
      </c>
      <c r="S72" s="23">
        <f t="shared" si="6"/>
        <v>0</v>
      </c>
      <c r="T72" s="23"/>
      <c r="U72" s="23">
        <v>30</v>
      </c>
      <c r="V72" s="23">
        <v>45</v>
      </c>
      <c r="W72" s="23">
        <f t="shared" si="7"/>
        <v>15</v>
      </c>
    </row>
    <row r="73" spans="1:23">
      <c r="A73" s="30">
        <v>4</v>
      </c>
      <c r="B73" t="s">
        <v>97</v>
      </c>
      <c r="C73" s="30" t="s">
        <v>20</v>
      </c>
      <c r="D73" s="30">
        <v>68</v>
      </c>
      <c r="E73" s="30">
        <v>7</v>
      </c>
      <c r="F73" s="30" t="s">
        <v>21</v>
      </c>
      <c r="G73" s="30" t="s">
        <v>22</v>
      </c>
      <c r="H73" s="30">
        <v>27</v>
      </c>
      <c r="I73" s="30">
        <v>6</v>
      </c>
      <c r="J73" s="30">
        <v>25</v>
      </c>
      <c r="K73" s="23">
        <f t="shared" si="4"/>
        <v>19</v>
      </c>
      <c r="L73" s="30"/>
      <c r="M73" s="30">
        <v>2</v>
      </c>
      <c r="N73" s="30">
        <v>18</v>
      </c>
      <c r="O73" s="23">
        <f t="shared" si="5"/>
        <v>16</v>
      </c>
      <c r="P73" s="30"/>
      <c r="Q73" s="30">
        <v>1</v>
      </c>
      <c r="R73" s="30">
        <v>23</v>
      </c>
      <c r="S73" s="23">
        <f t="shared" si="6"/>
        <v>22</v>
      </c>
      <c r="T73" s="30"/>
      <c r="U73" s="30">
        <v>55</v>
      </c>
      <c r="V73" s="30">
        <v>60</v>
      </c>
      <c r="W73" s="23">
        <f t="shared" si="7"/>
        <v>5</v>
      </c>
    </row>
    <row r="74" spans="1:23">
      <c r="A74" s="23">
        <v>1</v>
      </c>
      <c r="B74" t="s">
        <v>98</v>
      </c>
      <c r="C74" s="23" t="s">
        <v>20</v>
      </c>
      <c r="D74" s="23">
        <v>30</v>
      </c>
      <c r="E74" s="23">
        <v>11</v>
      </c>
      <c r="F74" s="23" t="s">
        <v>21</v>
      </c>
      <c r="G74" s="23" t="s">
        <v>22</v>
      </c>
      <c r="H74" s="23">
        <v>26</v>
      </c>
      <c r="I74" s="23">
        <v>0</v>
      </c>
      <c r="J74" s="23">
        <v>28</v>
      </c>
      <c r="K74" s="23">
        <f t="shared" si="4"/>
        <v>28</v>
      </c>
      <c r="L74" s="23"/>
      <c r="M74" s="23">
        <v>0</v>
      </c>
      <c r="N74" s="25">
        <v>21</v>
      </c>
      <c r="O74" s="23">
        <f t="shared" si="5"/>
        <v>21</v>
      </c>
      <c r="P74" s="23"/>
      <c r="Q74" s="23">
        <v>0</v>
      </c>
      <c r="R74" s="25">
        <v>22</v>
      </c>
      <c r="S74" s="23">
        <f t="shared" si="6"/>
        <v>22</v>
      </c>
      <c r="T74" s="23"/>
      <c r="U74" s="23">
        <v>30</v>
      </c>
      <c r="V74" s="23">
        <v>80</v>
      </c>
      <c r="W74" s="23">
        <f t="shared" si="7"/>
        <v>50</v>
      </c>
    </row>
    <row r="75" spans="1:23">
      <c r="A75" s="23">
        <v>3</v>
      </c>
      <c r="B75" s="48" t="s">
        <v>99</v>
      </c>
      <c r="C75" s="23" t="s">
        <v>20</v>
      </c>
      <c r="D75" s="23">
        <v>66</v>
      </c>
      <c r="E75" s="23">
        <v>8</v>
      </c>
      <c r="F75" s="23" t="s">
        <v>21</v>
      </c>
      <c r="G75" s="23" t="s">
        <v>22</v>
      </c>
      <c r="H75" s="23">
        <v>21</v>
      </c>
      <c r="I75" s="23">
        <v>16</v>
      </c>
      <c r="J75" s="23">
        <v>24</v>
      </c>
      <c r="K75" s="23">
        <f t="shared" si="4"/>
        <v>8</v>
      </c>
      <c r="L75" s="23"/>
      <c r="M75" s="23">
        <v>0</v>
      </c>
      <c r="N75" s="25">
        <v>1</v>
      </c>
      <c r="O75" s="23">
        <f t="shared" si="5"/>
        <v>1</v>
      </c>
      <c r="P75" s="23"/>
      <c r="Q75" s="23">
        <v>0</v>
      </c>
      <c r="R75" s="25">
        <v>2</v>
      </c>
      <c r="S75" s="23">
        <f t="shared" si="6"/>
        <v>2</v>
      </c>
      <c r="T75" s="23"/>
      <c r="U75" s="23">
        <v>50</v>
      </c>
      <c r="V75" s="23">
        <v>60</v>
      </c>
      <c r="W75" s="23">
        <f t="shared" si="7"/>
        <v>10</v>
      </c>
    </row>
    <row r="76" spans="1:23">
      <c r="A76" s="23">
        <v>2</v>
      </c>
      <c r="B76" t="s">
        <v>100</v>
      </c>
      <c r="C76" s="23" t="s">
        <v>20</v>
      </c>
      <c r="D76" s="23">
        <v>64</v>
      </c>
      <c r="E76" s="23">
        <v>33</v>
      </c>
      <c r="F76" s="23" t="s">
        <v>24</v>
      </c>
      <c r="G76" s="23" t="s">
        <v>22</v>
      </c>
      <c r="H76" s="23">
        <v>27</v>
      </c>
      <c r="I76" s="23">
        <v>20</v>
      </c>
      <c r="J76" s="23">
        <v>20</v>
      </c>
      <c r="K76" s="23">
        <f t="shared" si="4"/>
        <v>0</v>
      </c>
      <c r="L76" s="23"/>
      <c r="M76" s="23">
        <v>1</v>
      </c>
      <c r="N76" s="25">
        <v>4</v>
      </c>
      <c r="O76" s="23">
        <f t="shared" si="5"/>
        <v>3</v>
      </c>
      <c r="P76" s="23"/>
      <c r="Q76" s="23">
        <v>2</v>
      </c>
      <c r="R76" s="25">
        <v>10</v>
      </c>
      <c r="S76" s="23">
        <f t="shared" si="6"/>
        <v>8</v>
      </c>
      <c r="T76" s="23"/>
      <c r="U76" s="23">
        <v>55</v>
      </c>
      <c r="V76" s="23">
        <v>65</v>
      </c>
      <c r="W76" s="23">
        <f t="shared" si="7"/>
        <v>10</v>
      </c>
    </row>
    <row r="77" spans="1:23">
      <c r="A77" s="23">
        <v>1</v>
      </c>
      <c r="B77" t="s">
        <v>101</v>
      </c>
      <c r="C77" s="23" t="s">
        <v>28</v>
      </c>
      <c r="D77" s="23">
        <v>41</v>
      </c>
      <c r="E77" s="23">
        <v>17</v>
      </c>
      <c r="F77" s="23" t="s">
        <v>24</v>
      </c>
      <c r="G77" s="23" t="s">
        <v>25</v>
      </c>
      <c r="H77" s="23">
        <v>20</v>
      </c>
      <c r="I77" s="23">
        <v>0</v>
      </c>
      <c r="J77" s="23">
        <v>14</v>
      </c>
      <c r="K77" s="23">
        <f t="shared" si="4"/>
        <v>14</v>
      </c>
      <c r="L77" s="23"/>
      <c r="M77" s="23">
        <v>0</v>
      </c>
      <c r="N77" s="25">
        <v>2</v>
      </c>
      <c r="O77" s="23">
        <f t="shared" si="5"/>
        <v>2</v>
      </c>
      <c r="P77" s="23"/>
      <c r="Q77" s="23">
        <v>0</v>
      </c>
      <c r="R77" s="25">
        <v>3</v>
      </c>
      <c r="S77" s="23">
        <f t="shared" si="6"/>
        <v>3</v>
      </c>
      <c r="T77" s="23"/>
      <c r="U77" s="23">
        <v>40</v>
      </c>
      <c r="V77" s="23">
        <v>50</v>
      </c>
      <c r="W77" s="23">
        <f t="shared" si="7"/>
        <v>10</v>
      </c>
    </row>
    <row r="78" spans="1:23">
      <c r="A78" s="23">
        <v>3</v>
      </c>
      <c r="B78" t="s">
        <v>102</v>
      </c>
      <c r="C78" s="23" t="s">
        <v>28</v>
      </c>
      <c r="D78" s="23">
        <v>75</v>
      </c>
      <c r="E78" s="23">
        <v>84</v>
      </c>
      <c r="F78" s="23" t="s">
        <v>24</v>
      </c>
      <c r="G78" s="23" t="s">
        <v>22</v>
      </c>
      <c r="H78" s="23">
        <v>20</v>
      </c>
      <c r="I78" s="23">
        <v>17</v>
      </c>
      <c r="J78" s="23">
        <v>33</v>
      </c>
      <c r="K78" s="23">
        <f t="shared" si="4"/>
        <v>16</v>
      </c>
      <c r="L78" s="23"/>
      <c r="M78" s="23">
        <v>2</v>
      </c>
      <c r="N78" s="25">
        <v>12</v>
      </c>
      <c r="O78" s="23">
        <f t="shared" si="5"/>
        <v>10</v>
      </c>
      <c r="P78" s="23"/>
      <c r="Q78" s="23">
        <v>15</v>
      </c>
      <c r="R78" s="25">
        <v>37</v>
      </c>
      <c r="S78" s="23">
        <f t="shared" si="6"/>
        <v>22</v>
      </c>
      <c r="T78" s="23"/>
      <c r="U78" s="23">
        <v>55</v>
      </c>
      <c r="V78" s="23">
        <v>75</v>
      </c>
      <c r="W78" s="23">
        <f t="shared" si="7"/>
        <v>20</v>
      </c>
    </row>
    <row r="79" spans="1:23">
      <c r="A79" s="30">
        <v>4</v>
      </c>
      <c r="B79" s="48" t="s">
        <v>103</v>
      </c>
      <c r="C79" s="30" t="s">
        <v>20</v>
      </c>
      <c r="D79" s="30">
        <v>65</v>
      </c>
      <c r="E79" s="30">
        <v>13</v>
      </c>
      <c r="F79" s="30" t="s">
        <v>21</v>
      </c>
      <c r="G79" s="30" t="s">
        <v>25</v>
      </c>
      <c r="H79" s="30">
        <v>29</v>
      </c>
      <c r="I79" s="30">
        <v>14</v>
      </c>
      <c r="J79" s="30">
        <v>31</v>
      </c>
      <c r="K79" s="23">
        <f t="shared" si="4"/>
        <v>17</v>
      </c>
      <c r="L79" s="30"/>
      <c r="M79" s="30">
        <v>2</v>
      </c>
      <c r="N79" s="30">
        <v>24</v>
      </c>
      <c r="O79" s="23">
        <f t="shared" si="5"/>
        <v>22</v>
      </c>
      <c r="P79" s="30"/>
      <c r="Q79" s="30">
        <v>7</v>
      </c>
      <c r="R79" s="30">
        <v>43</v>
      </c>
      <c r="S79" s="23">
        <f t="shared" si="6"/>
        <v>36</v>
      </c>
      <c r="T79" s="30"/>
      <c r="U79" s="30">
        <v>55</v>
      </c>
      <c r="V79" s="30">
        <v>75</v>
      </c>
      <c r="W79" s="23">
        <f t="shared" si="7"/>
        <v>20</v>
      </c>
    </row>
    <row r="80" spans="1:23">
      <c r="A80" s="23">
        <v>2</v>
      </c>
      <c r="B80" t="s">
        <v>104</v>
      </c>
      <c r="C80" s="23" t="s">
        <v>28</v>
      </c>
      <c r="D80" s="23">
        <v>55</v>
      </c>
      <c r="E80" s="23">
        <v>33</v>
      </c>
      <c r="F80" s="23" t="s">
        <v>21</v>
      </c>
      <c r="G80" s="23" t="s">
        <v>22</v>
      </c>
      <c r="H80" s="23">
        <v>28</v>
      </c>
      <c r="I80" s="23">
        <v>17</v>
      </c>
      <c r="J80" s="23">
        <v>33</v>
      </c>
      <c r="K80" s="23">
        <f t="shared" si="4"/>
        <v>16</v>
      </c>
      <c r="L80" s="23"/>
      <c r="M80" s="23">
        <v>2</v>
      </c>
      <c r="N80" s="25">
        <v>13</v>
      </c>
      <c r="O80" s="23">
        <f t="shared" si="5"/>
        <v>11</v>
      </c>
      <c r="P80" s="23"/>
      <c r="Q80" s="23">
        <v>15</v>
      </c>
      <c r="R80" s="25">
        <v>37</v>
      </c>
      <c r="S80" s="23">
        <f t="shared" si="6"/>
        <v>22</v>
      </c>
      <c r="T80" s="23"/>
      <c r="U80" s="23">
        <v>55</v>
      </c>
      <c r="V80" s="23">
        <v>75</v>
      </c>
      <c r="W80" s="23">
        <f t="shared" si="7"/>
        <v>20</v>
      </c>
    </row>
    <row r="81" spans="1:23">
      <c r="A81" s="30">
        <v>4</v>
      </c>
      <c r="B81" s="24" t="s">
        <v>105</v>
      </c>
      <c r="C81" s="30" t="s">
        <v>28</v>
      </c>
      <c r="D81" s="30">
        <v>76</v>
      </c>
      <c r="E81" s="30">
        <v>16</v>
      </c>
      <c r="F81" s="30" t="s">
        <v>24</v>
      </c>
      <c r="G81" s="30" t="s">
        <v>22</v>
      </c>
      <c r="H81" s="30">
        <v>20</v>
      </c>
      <c r="I81" s="30">
        <v>7</v>
      </c>
      <c r="J81" s="30">
        <v>28</v>
      </c>
      <c r="K81" s="23">
        <f t="shared" si="4"/>
        <v>21</v>
      </c>
      <c r="L81" s="30"/>
      <c r="M81" s="30">
        <v>1</v>
      </c>
      <c r="N81" s="30">
        <v>16</v>
      </c>
      <c r="O81" s="23">
        <f t="shared" si="5"/>
        <v>15</v>
      </c>
      <c r="P81" s="30"/>
      <c r="Q81" s="30">
        <v>2</v>
      </c>
      <c r="R81" s="30">
        <v>22</v>
      </c>
      <c r="S81" s="23">
        <f t="shared" si="6"/>
        <v>20</v>
      </c>
      <c r="T81" s="30"/>
      <c r="U81" s="30">
        <v>40</v>
      </c>
      <c r="V81" s="30">
        <v>65</v>
      </c>
      <c r="W81" s="23">
        <f t="shared" si="7"/>
        <v>25</v>
      </c>
    </row>
    <row r="83" spans="1:23">
      <c r="G83" s="48"/>
      <c r="H83" s="55"/>
      <c r="I83" s="55"/>
      <c r="J83" s="55"/>
      <c r="K83" s="55"/>
      <c r="L83" s="55"/>
      <c r="M83" s="56"/>
      <c r="N83" s="55"/>
      <c r="O83" s="55"/>
      <c r="P83" s="56"/>
      <c r="Q83" s="55"/>
      <c r="R83" s="55"/>
      <c r="S83" s="55"/>
      <c r="T83" s="57"/>
    </row>
    <row r="84" spans="1:23">
      <c r="G84" s="48"/>
      <c r="H84" s="55"/>
      <c r="I84" s="55"/>
      <c r="J84" s="55"/>
      <c r="K84" s="55"/>
      <c r="L84" s="55"/>
      <c r="M84" s="56"/>
      <c r="N84" s="55"/>
      <c r="O84" s="55"/>
      <c r="P84" s="56"/>
      <c r="Q84" s="55"/>
      <c r="R84" s="55"/>
      <c r="S84" s="55"/>
    </row>
  </sheetData>
  <autoFilter xmlns:etc="http://www.wps.cn/officeDocument/2017/etCustomData" ref="A1:K8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1"/>
  <sheetViews>
    <sheetView workbookViewId="0">
      <selection activeCell="K23" sqref="K23"/>
    </sheetView>
  </sheetViews>
  <sheetFormatPr defaultColWidth="8.88888888888889" defaultRowHeight="14.4"/>
  <sheetData>
    <row r="1" spans="1:21">
      <c r="A1" t="s">
        <v>106</v>
      </c>
      <c r="B1" t="s">
        <v>107</v>
      </c>
      <c r="C1" t="s">
        <v>9</v>
      </c>
      <c r="D1" t="s">
        <v>12</v>
      </c>
      <c r="E1" t="s">
        <v>15</v>
      </c>
      <c r="F1" t="s">
        <v>18</v>
      </c>
      <c r="Q1" t="s">
        <v>108</v>
      </c>
      <c r="R1" t="s">
        <v>109</v>
      </c>
    </row>
    <row r="2" spans="1:21">
      <c r="A2">
        <v>1</v>
      </c>
      <c r="B2">
        <v>1</v>
      </c>
      <c r="C2">
        <v>1</v>
      </c>
      <c r="D2">
        <v>9</v>
      </c>
      <c r="E2">
        <v>20</v>
      </c>
      <c r="F2">
        <v>20</v>
      </c>
      <c r="R2" t="s">
        <v>110</v>
      </c>
    </row>
    <row r="3" spans="1:21">
      <c r="A3">
        <v>1</v>
      </c>
      <c r="B3">
        <v>1</v>
      </c>
      <c r="C3">
        <v>4</v>
      </c>
      <c r="D3">
        <v>9</v>
      </c>
      <c r="E3">
        <v>12</v>
      </c>
      <c r="F3">
        <v>15</v>
      </c>
      <c r="Q3" t="s">
        <v>111</v>
      </c>
      <c r="R3" t="s">
        <v>112</v>
      </c>
    </row>
    <row r="4" spans="1:21">
      <c r="A4">
        <v>1</v>
      </c>
      <c r="B4">
        <v>1</v>
      </c>
      <c r="C4">
        <v>2</v>
      </c>
      <c r="D4">
        <v>14</v>
      </c>
      <c r="E4">
        <v>10</v>
      </c>
      <c r="F4">
        <v>0</v>
      </c>
      <c r="R4" t="s">
        <v>113</v>
      </c>
    </row>
    <row r="5" spans="1:21">
      <c r="A5">
        <v>1</v>
      </c>
      <c r="B5">
        <v>1</v>
      </c>
      <c r="C5">
        <v>3</v>
      </c>
      <c r="D5">
        <v>7</v>
      </c>
      <c r="E5">
        <v>11</v>
      </c>
      <c r="F5">
        <v>25</v>
      </c>
    </row>
    <row r="6" spans="1:21">
      <c r="A6">
        <v>1</v>
      </c>
      <c r="B6">
        <v>1</v>
      </c>
      <c r="C6">
        <v>2</v>
      </c>
      <c r="D6">
        <v>0</v>
      </c>
      <c r="E6">
        <v>0</v>
      </c>
      <c r="F6">
        <v>0</v>
      </c>
      <c r="R6" t="s">
        <v>114</v>
      </c>
      <c r="S6" t="s">
        <v>115</v>
      </c>
      <c r="T6" t="s">
        <v>116</v>
      </c>
      <c r="U6" t="s">
        <v>117</v>
      </c>
    </row>
    <row r="7" spans="1:21">
      <c r="A7">
        <v>1</v>
      </c>
      <c r="B7">
        <v>1</v>
      </c>
      <c r="C7">
        <v>5</v>
      </c>
      <c r="D7">
        <v>4</v>
      </c>
      <c r="E7">
        <v>15</v>
      </c>
      <c r="F7">
        <v>15</v>
      </c>
    </row>
    <row r="8" ht="15.15" spans="1:21">
      <c r="A8">
        <v>1</v>
      </c>
      <c r="B8">
        <v>1</v>
      </c>
      <c r="C8">
        <v>4</v>
      </c>
      <c r="D8">
        <v>2</v>
      </c>
      <c r="E8">
        <v>1</v>
      </c>
      <c r="F8">
        <v>20</v>
      </c>
    </row>
    <row r="9" ht="15.15" spans="1:21">
      <c r="A9">
        <v>1</v>
      </c>
      <c r="B9">
        <v>1</v>
      </c>
      <c r="C9">
        <v>20</v>
      </c>
      <c r="D9">
        <v>33</v>
      </c>
      <c r="E9">
        <v>39</v>
      </c>
      <c r="F9">
        <v>45</v>
      </c>
      <c r="R9" s="52" t="s">
        <v>106</v>
      </c>
      <c r="S9" s="52" t="s">
        <v>107</v>
      </c>
      <c r="T9" s="52"/>
    </row>
    <row r="10" ht="15.15" spans="1:21">
      <c r="A10">
        <v>1</v>
      </c>
      <c r="B10">
        <v>1</v>
      </c>
      <c r="C10">
        <v>12</v>
      </c>
      <c r="D10">
        <v>2</v>
      </c>
      <c r="E10">
        <v>4</v>
      </c>
      <c r="F10">
        <v>15</v>
      </c>
      <c r="R10" s="53"/>
      <c r="S10" s="54" t="s">
        <v>118</v>
      </c>
      <c r="T10" s="54" t="s">
        <v>119</v>
      </c>
    </row>
    <row r="11" ht="15.15" spans="1:21">
      <c r="A11">
        <v>1</v>
      </c>
      <c r="B11">
        <v>1</v>
      </c>
      <c r="C11">
        <v>0</v>
      </c>
      <c r="D11">
        <v>1</v>
      </c>
      <c r="E11">
        <v>2</v>
      </c>
      <c r="F11">
        <v>15</v>
      </c>
      <c r="R11" t="s">
        <v>118</v>
      </c>
      <c r="S11" t="s">
        <v>120</v>
      </c>
      <c r="T11" t="s">
        <v>121</v>
      </c>
    </row>
    <row r="12" ht="15.15" spans="1:21">
      <c r="A12">
        <v>1</v>
      </c>
      <c r="B12">
        <v>1</v>
      </c>
      <c r="C12">
        <v>12</v>
      </c>
      <c r="D12">
        <v>8</v>
      </c>
      <c r="E12">
        <v>16</v>
      </c>
      <c r="F12">
        <v>15</v>
      </c>
      <c r="R12" s="6" t="s">
        <v>122</v>
      </c>
      <c r="S12" s="6" t="s">
        <v>123</v>
      </c>
      <c r="T12" s="6" t="s">
        <v>124</v>
      </c>
    </row>
    <row r="13" spans="1:21">
      <c r="A13">
        <v>1</v>
      </c>
      <c r="B13">
        <v>1</v>
      </c>
      <c r="C13">
        <v>7</v>
      </c>
      <c r="D13">
        <v>15</v>
      </c>
      <c r="E13">
        <v>31</v>
      </c>
      <c r="F13">
        <v>25</v>
      </c>
    </row>
    <row r="14" spans="1:21">
      <c r="A14">
        <v>1</v>
      </c>
      <c r="B14">
        <v>1</v>
      </c>
      <c r="C14">
        <v>16</v>
      </c>
      <c r="D14">
        <v>19</v>
      </c>
      <c r="E14">
        <v>36</v>
      </c>
      <c r="F14">
        <v>15</v>
      </c>
    </row>
    <row r="15" spans="1:21">
      <c r="A15">
        <v>1</v>
      </c>
      <c r="B15">
        <v>1</v>
      </c>
      <c r="C15">
        <v>13</v>
      </c>
      <c r="D15">
        <v>9</v>
      </c>
      <c r="E15">
        <v>16</v>
      </c>
      <c r="F15">
        <v>15</v>
      </c>
    </row>
    <row r="16" spans="1:21">
      <c r="A16">
        <v>1</v>
      </c>
      <c r="B16">
        <v>1</v>
      </c>
      <c r="C16">
        <v>12</v>
      </c>
      <c r="D16">
        <v>20</v>
      </c>
      <c r="E16">
        <v>15</v>
      </c>
      <c r="F16">
        <v>20</v>
      </c>
    </row>
    <row r="17" spans="1:6">
      <c r="A17">
        <v>1</v>
      </c>
      <c r="B17">
        <v>1</v>
      </c>
      <c r="C17">
        <v>33</v>
      </c>
      <c r="D17">
        <v>20</v>
      </c>
      <c r="E17">
        <v>53</v>
      </c>
      <c r="F17">
        <v>90</v>
      </c>
    </row>
    <row r="18" spans="1:6">
      <c r="A18">
        <v>1</v>
      </c>
      <c r="B18">
        <v>1</v>
      </c>
      <c r="C18">
        <v>2</v>
      </c>
      <c r="D18">
        <v>0</v>
      </c>
      <c r="E18">
        <v>0</v>
      </c>
      <c r="F18">
        <v>15</v>
      </c>
    </row>
    <row r="19" spans="1:6">
      <c r="A19">
        <v>1</v>
      </c>
      <c r="B19">
        <v>1</v>
      </c>
      <c r="C19">
        <v>19</v>
      </c>
      <c r="D19">
        <v>16</v>
      </c>
      <c r="E19">
        <v>22</v>
      </c>
      <c r="F19">
        <v>5</v>
      </c>
    </row>
    <row r="20" spans="1:6">
      <c r="A20">
        <v>1</v>
      </c>
      <c r="B20">
        <v>1</v>
      </c>
      <c r="C20">
        <v>17</v>
      </c>
      <c r="D20">
        <v>22</v>
      </c>
      <c r="E20">
        <v>36</v>
      </c>
      <c r="F20">
        <v>20</v>
      </c>
    </row>
    <row r="21" spans="1:6">
      <c r="A21">
        <v>1</v>
      </c>
      <c r="B21">
        <v>1</v>
      </c>
      <c r="C21">
        <v>21</v>
      </c>
      <c r="D21">
        <v>15</v>
      </c>
      <c r="E21">
        <v>20</v>
      </c>
      <c r="F21">
        <v>25</v>
      </c>
    </row>
    <row r="22" spans="1:6">
      <c r="A22">
        <v>1</v>
      </c>
      <c r="B22">
        <v>2</v>
      </c>
      <c r="C22">
        <v>1</v>
      </c>
      <c r="D22">
        <v>4</v>
      </c>
      <c r="E22">
        <v>2</v>
      </c>
      <c r="F22">
        <v>25</v>
      </c>
    </row>
    <row r="23" spans="1:6">
      <c r="A23">
        <v>1</v>
      </c>
      <c r="B23">
        <v>2</v>
      </c>
      <c r="C23">
        <v>0</v>
      </c>
      <c r="D23">
        <v>10</v>
      </c>
      <c r="E23">
        <v>18</v>
      </c>
      <c r="F23">
        <v>5</v>
      </c>
    </row>
    <row r="24" spans="1:6">
      <c r="A24">
        <v>1</v>
      </c>
      <c r="B24">
        <v>2</v>
      </c>
      <c r="C24">
        <v>9</v>
      </c>
      <c r="D24">
        <v>6</v>
      </c>
      <c r="E24">
        <v>7</v>
      </c>
      <c r="F24">
        <v>20</v>
      </c>
    </row>
    <row r="25" spans="1:6">
      <c r="A25">
        <v>1</v>
      </c>
      <c r="B25">
        <v>2</v>
      </c>
      <c r="C25">
        <v>2</v>
      </c>
      <c r="D25">
        <v>0</v>
      </c>
      <c r="E25">
        <v>0</v>
      </c>
      <c r="F25">
        <v>15</v>
      </c>
    </row>
    <row r="26" spans="1:6">
      <c r="A26">
        <v>1</v>
      </c>
      <c r="B26">
        <v>2</v>
      </c>
      <c r="C26">
        <v>1</v>
      </c>
      <c r="D26">
        <v>7</v>
      </c>
      <c r="E26">
        <v>18</v>
      </c>
      <c r="F26">
        <v>15</v>
      </c>
    </row>
    <row r="27" spans="1:6">
      <c r="A27">
        <v>1</v>
      </c>
      <c r="B27">
        <v>2</v>
      </c>
      <c r="C27">
        <v>-6</v>
      </c>
      <c r="D27">
        <v>2</v>
      </c>
      <c r="E27">
        <v>3</v>
      </c>
      <c r="F27">
        <v>15</v>
      </c>
    </row>
    <row r="28" spans="1:6">
      <c r="A28">
        <v>1</v>
      </c>
      <c r="B28">
        <v>2</v>
      </c>
      <c r="C28">
        <v>2</v>
      </c>
      <c r="D28">
        <v>0</v>
      </c>
      <c r="E28">
        <v>0</v>
      </c>
      <c r="F28">
        <v>5</v>
      </c>
    </row>
    <row r="29" spans="1:6">
      <c r="A29">
        <v>1</v>
      </c>
      <c r="B29">
        <v>2</v>
      </c>
      <c r="C29">
        <v>24</v>
      </c>
      <c r="D29">
        <v>16</v>
      </c>
      <c r="E29">
        <v>22</v>
      </c>
      <c r="F29">
        <v>35</v>
      </c>
    </row>
    <row r="30" spans="1:6">
      <c r="A30">
        <v>1</v>
      </c>
      <c r="B30">
        <v>2</v>
      </c>
      <c r="C30">
        <v>16</v>
      </c>
      <c r="D30">
        <v>13</v>
      </c>
      <c r="E30">
        <v>16</v>
      </c>
      <c r="F30">
        <v>20</v>
      </c>
    </row>
    <row r="31" spans="1:6">
      <c r="A31">
        <v>1</v>
      </c>
      <c r="B31">
        <v>2</v>
      </c>
      <c r="C31">
        <v>6</v>
      </c>
      <c r="D31">
        <v>4</v>
      </c>
      <c r="E31">
        <v>1</v>
      </c>
      <c r="F31">
        <v>5</v>
      </c>
    </row>
    <row r="32" spans="1:6">
      <c r="A32">
        <v>1</v>
      </c>
      <c r="B32">
        <v>2</v>
      </c>
      <c r="C32">
        <v>16</v>
      </c>
      <c r="D32">
        <v>0</v>
      </c>
      <c r="E32">
        <v>1</v>
      </c>
      <c r="F32">
        <v>5</v>
      </c>
    </row>
    <row r="33" spans="1:6">
      <c r="A33">
        <v>1</v>
      </c>
      <c r="B33">
        <v>2</v>
      </c>
      <c r="C33">
        <v>4</v>
      </c>
      <c r="D33">
        <v>2</v>
      </c>
      <c r="E33">
        <v>0</v>
      </c>
      <c r="F33">
        <v>10</v>
      </c>
    </row>
    <row r="34" spans="1:6">
      <c r="A34">
        <v>1</v>
      </c>
      <c r="B34">
        <v>2</v>
      </c>
      <c r="C34">
        <v>12</v>
      </c>
      <c r="D34">
        <v>1</v>
      </c>
      <c r="E34">
        <v>2</v>
      </c>
      <c r="F34">
        <v>0</v>
      </c>
    </row>
    <row r="35" spans="1:6">
      <c r="A35">
        <v>1</v>
      </c>
      <c r="B35">
        <v>2</v>
      </c>
      <c r="C35">
        <v>6</v>
      </c>
      <c r="D35">
        <v>0</v>
      </c>
      <c r="E35">
        <v>0</v>
      </c>
      <c r="F35">
        <v>15</v>
      </c>
    </row>
    <row r="36" spans="1:6">
      <c r="A36">
        <v>1</v>
      </c>
      <c r="B36">
        <v>2</v>
      </c>
      <c r="C36">
        <v>7</v>
      </c>
      <c r="D36">
        <v>1</v>
      </c>
      <c r="E36">
        <v>2</v>
      </c>
      <c r="F36">
        <v>20</v>
      </c>
    </row>
    <row r="37" spans="1:6">
      <c r="A37">
        <v>1</v>
      </c>
      <c r="B37">
        <v>2</v>
      </c>
      <c r="C37">
        <v>4</v>
      </c>
      <c r="D37">
        <v>1</v>
      </c>
      <c r="E37">
        <v>1</v>
      </c>
      <c r="F37">
        <v>5</v>
      </c>
    </row>
    <row r="38" spans="1:6">
      <c r="A38">
        <v>1</v>
      </c>
      <c r="B38">
        <v>2</v>
      </c>
      <c r="C38">
        <v>8</v>
      </c>
      <c r="D38">
        <v>4</v>
      </c>
      <c r="E38">
        <v>15</v>
      </c>
      <c r="F38">
        <v>40</v>
      </c>
    </row>
    <row r="39" spans="1:6">
      <c r="A39">
        <v>1</v>
      </c>
      <c r="B39">
        <v>2</v>
      </c>
      <c r="C39">
        <v>0</v>
      </c>
      <c r="D39">
        <v>0</v>
      </c>
      <c r="E39">
        <v>0</v>
      </c>
      <c r="F39">
        <v>15</v>
      </c>
    </row>
    <row r="40" spans="1:6">
      <c r="A40">
        <v>1</v>
      </c>
      <c r="B40">
        <v>2</v>
      </c>
      <c r="C40">
        <v>8</v>
      </c>
      <c r="D40">
        <v>1</v>
      </c>
      <c r="E40">
        <v>2</v>
      </c>
      <c r="F40">
        <v>10</v>
      </c>
    </row>
    <row r="41" spans="1:6">
      <c r="A41">
        <v>1</v>
      </c>
      <c r="B41">
        <v>2</v>
      </c>
      <c r="C41">
        <v>16</v>
      </c>
      <c r="D41">
        <v>10</v>
      </c>
      <c r="E41">
        <v>22</v>
      </c>
      <c r="F41">
        <v>20</v>
      </c>
    </row>
    <row r="42" spans="1:6">
      <c r="A42">
        <v>2</v>
      </c>
      <c r="B42">
        <v>1</v>
      </c>
      <c r="C42">
        <v>1</v>
      </c>
      <c r="D42">
        <v>4</v>
      </c>
      <c r="E42">
        <v>5</v>
      </c>
      <c r="F42">
        <v>5</v>
      </c>
    </row>
    <row r="43" spans="1:6">
      <c r="A43">
        <v>2</v>
      </c>
      <c r="B43">
        <v>1</v>
      </c>
      <c r="C43">
        <v>1</v>
      </c>
      <c r="D43">
        <v>0</v>
      </c>
      <c r="E43">
        <v>0</v>
      </c>
      <c r="F43">
        <v>0</v>
      </c>
    </row>
    <row r="44" spans="1:6">
      <c r="A44">
        <v>2</v>
      </c>
      <c r="B44">
        <v>1</v>
      </c>
      <c r="C44">
        <v>5</v>
      </c>
      <c r="D44">
        <v>0</v>
      </c>
      <c r="E44">
        <v>0</v>
      </c>
      <c r="F44">
        <v>5</v>
      </c>
    </row>
    <row r="45" spans="1:6">
      <c r="A45">
        <v>2</v>
      </c>
      <c r="B45">
        <v>1</v>
      </c>
      <c r="C45">
        <v>0</v>
      </c>
      <c r="D45">
        <v>0</v>
      </c>
      <c r="E45">
        <v>0</v>
      </c>
      <c r="F45">
        <v>10</v>
      </c>
    </row>
    <row r="46" spans="1:6">
      <c r="A46">
        <v>2</v>
      </c>
      <c r="B46">
        <v>1</v>
      </c>
      <c r="C46">
        <v>1</v>
      </c>
      <c r="D46">
        <v>6</v>
      </c>
      <c r="E46">
        <v>7</v>
      </c>
      <c r="F46">
        <v>10</v>
      </c>
    </row>
    <row r="47" spans="1:6">
      <c r="A47">
        <v>2</v>
      </c>
      <c r="B47">
        <v>1</v>
      </c>
      <c r="C47">
        <v>18</v>
      </c>
      <c r="D47">
        <v>16</v>
      </c>
      <c r="E47">
        <v>27</v>
      </c>
      <c r="F47">
        <v>55</v>
      </c>
    </row>
    <row r="48" spans="1:6">
      <c r="A48">
        <v>2</v>
      </c>
      <c r="B48">
        <v>1</v>
      </c>
      <c r="C48">
        <v>4</v>
      </c>
      <c r="D48">
        <v>0</v>
      </c>
      <c r="E48">
        <v>10</v>
      </c>
      <c r="F48">
        <v>5</v>
      </c>
    </row>
    <row r="49" spans="1:6">
      <c r="A49">
        <v>2</v>
      </c>
      <c r="B49">
        <v>1</v>
      </c>
      <c r="C49">
        <v>0</v>
      </c>
      <c r="D49">
        <v>0</v>
      </c>
      <c r="E49">
        <v>0</v>
      </c>
      <c r="F49">
        <v>10</v>
      </c>
    </row>
    <row r="50" spans="1:6">
      <c r="A50">
        <v>2</v>
      </c>
      <c r="B50">
        <v>1</v>
      </c>
      <c r="C50">
        <v>8</v>
      </c>
      <c r="D50">
        <v>-4</v>
      </c>
      <c r="E50">
        <v>15</v>
      </c>
      <c r="F50">
        <v>5</v>
      </c>
    </row>
    <row r="51" spans="1:6">
      <c r="A51">
        <v>2</v>
      </c>
      <c r="B51">
        <v>1</v>
      </c>
      <c r="C51">
        <v>5</v>
      </c>
      <c r="D51">
        <v>0</v>
      </c>
      <c r="E51">
        <v>0</v>
      </c>
      <c r="F51">
        <v>5</v>
      </c>
    </row>
    <row r="52" spans="1:6">
      <c r="A52">
        <v>2</v>
      </c>
      <c r="B52">
        <v>1</v>
      </c>
      <c r="C52">
        <v>4</v>
      </c>
      <c r="D52">
        <v>6</v>
      </c>
      <c r="E52">
        <v>7</v>
      </c>
      <c r="F52">
        <v>15</v>
      </c>
    </row>
    <row r="53" spans="1:6">
      <c r="A53">
        <v>2</v>
      </c>
      <c r="B53">
        <v>1</v>
      </c>
      <c r="C53">
        <v>5</v>
      </c>
      <c r="D53">
        <v>0</v>
      </c>
      <c r="E53">
        <v>0</v>
      </c>
      <c r="F53">
        <v>5</v>
      </c>
    </row>
    <row r="54" spans="1:6">
      <c r="A54">
        <v>2</v>
      </c>
      <c r="B54">
        <v>1</v>
      </c>
      <c r="C54">
        <v>-7</v>
      </c>
      <c r="D54">
        <v>6</v>
      </c>
      <c r="E54">
        <v>4</v>
      </c>
      <c r="F54">
        <v>25</v>
      </c>
    </row>
    <row r="55" spans="1:6">
      <c r="A55">
        <v>2</v>
      </c>
      <c r="B55">
        <v>1</v>
      </c>
      <c r="C55">
        <v>4</v>
      </c>
      <c r="D55">
        <v>1</v>
      </c>
      <c r="E55">
        <v>2</v>
      </c>
      <c r="F55">
        <v>10</v>
      </c>
    </row>
    <row r="56" spans="1:6">
      <c r="A56">
        <v>2</v>
      </c>
      <c r="B56">
        <v>1</v>
      </c>
      <c r="C56">
        <v>15</v>
      </c>
      <c r="D56">
        <v>2</v>
      </c>
      <c r="E56">
        <v>6</v>
      </c>
      <c r="F56">
        <v>10</v>
      </c>
    </row>
    <row r="57" spans="1:6">
      <c r="A57">
        <v>2</v>
      </c>
      <c r="B57">
        <v>1</v>
      </c>
      <c r="C57">
        <v>0</v>
      </c>
      <c r="D57">
        <v>1</v>
      </c>
      <c r="E57">
        <v>1</v>
      </c>
      <c r="F57">
        <v>10</v>
      </c>
    </row>
    <row r="58" spans="1:6">
      <c r="A58">
        <v>2</v>
      </c>
      <c r="B58">
        <v>1</v>
      </c>
      <c r="C58">
        <v>8</v>
      </c>
      <c r="D58">
        <v>4</v>
      </c>
      <c r="E58">
        <v>10</v>
      </c>
      <c r="F58">
        <v>5</v>
      </c>
    </row>
    <row r="59" spans="1:6">
      <c r="A59">
        <v>2</v>
      </c>
      <c r="B59">
        <v>1</v>
      </c>
      <c r="C59">
        <v>26</v>
      </c>
      <c r="D59">
        <v>16</v>
      </c>
      <c r="E59">
        <v>28</v>
      </c>
      <c r="F59">
        <v>20</v>
      </c>
    </row>
    <row r="60" spans="1:6">
      <c r="A60">
        <v>2</v>
      </c>
      <c r="B60">
        <v>1</v>
      </c>
      <c r="C60">
        <v>0</v>
      </c>
      <c r="D60">
        <v>3</v>
      </c>
      <c r="E60">
        <v>8</v>
      </c>
      <c r="F60">
        <v>10</v>
      </c>
    </row>
    <row r="61" spans="1:6">
      <c r="A61">
        <v>2</v>
      </c>
      <c r="B61">
        <v>1</v>
      </c>
      <c r="C61">
        <v>16</v>
      </c>
      <c r="D61">
        <v>11</v>
      </c>
      <c r="E61">
        <v>22</v>
      </c>
      <c r="F61">
        <v>20</v>
      </c>
    </row>
    <row r="62" spans="1:6">
      <c r="A62">
        <v>2</v>
      </c>
      <c r="B62">
        <v>2</v>
      </c>
      <c r="C62">
        <v>2</v>
      </c>
      <c r="D62">
        <v>4</v>
      </c>
      <c r="E62">
        <v>3</v>
      </c>
      <c r="F62">
        <v>5</v>
      </c>
    </row>
    <row r="63" spans="1:6">
      <c r="A63">
        <v>2</v>
      </c>
      <c r="B63">
        <v>2</v>
      </c>
      <c r="C63">
        <v>0</v>
      </c>
      <c r="D63">
        <v>1</v>
      </c>
      <c r="E63">
        <v>4</v>
      </c>
      <c r="F63">
        <v>15</v>
      </c>
    </row>
    <row r="64" spans="1:6">
      <c r="A64">
        <v>2</v>
      </c>
      <c r="B64">
        <v>2</v>
      </c>
      <c r="C64">
        <v>0</v>
      </c>
      <c r="D64">
        <v>12</v>
      </c>
      <c r="E64">
        <v>10</v>
      </c>
      <c r="F64">
        <v>30</v>
      </c>
    </row>
    <row r="65" spans="1:6">
      <c r="A65">
        <v>2</v>
      </c>
      <c r="B65">
        <v>2</v>
      </c>
      <c r="C65">
        <v>16</v>
      </c>
      <c r="D65">
        <v>12</v>
      </c>
      <c r="E65">
        <v>16</v>
      </c>
      <c r="F65">
        <v>30</v>
      </c>
    </row>
    <row r="66" spans="1:6">
      <c r="A66">
        <v>2</v>
      </c>
      <c r="B66">
        <v>2</v>
      </c>
      <c r="C66">
        <v>0</v>
      </c>
      <c r="D66">
        <v>0</v>
      </c>
      <c r="E66">
        <v>0</v>
      </c>
      <c r="F66">
        <v>40</v>
      </c>
    </row>
    <row r="67" spans="1:6">
      <c r="A67">
        <v>2</v>
      </c>
      <c r="B67">
        <v>2</v>
      </c>
      <c r="C67">
        <v>1</v>
      </c>
      <c r="D67">
        <v>0</v>
      </c>
      <c r="E67">
        <v>15</v>
      </c>
      <c r="F67">
        <v>10</v>
      </c>
    </row>
    <row r="68" spans="1:6">
      <c r="A68">
        <v>2</v>
      </c>
      <c r="B68">
        <v>2</v>
      </c>
      <c r="C68">
        <v>16</v>
      </c>
      <c r="D68">
        <v>16</v>
      </c>
      <c r="E68">
        <v>10</v>
      </c>
      <c r="F68">
        <v>15</v>
      </c>
    </row>
    <row r="69" spans="1:6">
      <c r="A69">
        <v>2</v>
      </c>
      <c r="B69">
        <v>2</v>
      </c>
      <c r="C69">
        <v>2</v>
      </c>
      <c r="D69">
        <v>0</v>
      </c>
      <c r="E69">
        <v>0</v>
      </c>
      <c r="F69">
        <v>5</v>
      </c>
    </row>
    <row r="70" spans="1:6">
      <c r="A70">
        <v>2</v>
      </c>
      <c r="B70">
        <v>2</v>
      </c>
      <c r="C70">
        <v>17</v>
      </c>
      <c r="D70">
        <v>6</v>
      </c>
      <c r="E70">
        <v>16</v>
      </c>
      <c r="F70">
        <v>25</v>
      </c>
    </row>
    <row r="71" spans="1:6">
      <c r="A71">
        <v>2</v>
      </c>
      <c r="B71">
        <v>2</v>
      </c>
      <c r="C71">
        <v>0</v>
      </c>
      <c r="D71">
        <v>2</v>
      </c>
      <c r="E71">
        <v>3</v>
      </c>
      <c r="F71">
        <v>10</v>
      </c>
    </row>
    <row r="72" spans="1:6">
      <c r="A72">
        <v>2</v>
      </c>
      <c r="B72">
        <v>2</v>
      </c>
      <c r="C72">
        <v>0</v>
      </c>
      <c r="D72">
        <v>5</v>
      </c>
      <c r="E72">
        <v>0</v>
      </c>
      <c r="F72">
        <v>20</v>
      </c>
    </row>
    <row r="73" spans="1:6">
      <c r="A73">
        <v>2</v>
      </c>
      <c r="B73">
        <v>2</v>
      </c>
      <c r="C73">
        <v>6</v>
      </c>
      <c r="D73">
        <v>5</v>
      </c>
      <c r="E73">
        <v>10</v>
      </c>
      <c r="F73">
        <v>25</v>
      </c>
    </row>
    <row r="74" spans="1:6">
      <c r="A74">
        <v>2</v>
      </c>
      <c r="B74">
        <v>2</v>
      </c>
      <c r="C74">
        <v>5</v>
      </c>
      <c r="D74">
        <v>3</v>
      </c>
      <c r="E74">
        <v>0</v>
      </c>
      <c r="F74">
        <v>0</v>
      </c>
    </row>
    <row r="75" spans="1:6">
      <c r="A75">
        <v>2</v>
      </c>
      <c r="B75">
        <v>2</v>
      </c>
      <c r="C75">
        <v>13</v>
      </c>
      <c r="D75">
        <v>1</v>
      </c>
      <c r="E75">
        <v>2</v>
      </c>
      <c r="F75">
        <v>15</v>
      </c>
    </row>
    <row r="76" spans="1:6">
      <c r="A76">
        <v>2</v>
      </c>
      <c r="B76">
        <v>2</v>
      </c>
      <c r="C76">
        <v>2</v>
      </c>
      <c r="D76">
        <v>0</v>
      </c>
      <c r="E76">
        <v>0</v>
      </c>
      <c r="F76">
        <v>25</v>
      </c>
    </row>
    <row r="77" spans="1:6">
      <c r="A77">
        <v>2</v>
      </c>
      <c r="B77">
        <v>2</v>
      </c>
      <c r="C77">
        <v>1</v>
      </c>
      <c r="D77">
        <v>1</v>
      </c>
      <c r="E77">
        <v>4</v>
      </c>
      <c r="F77">
        <v>5</v>
      </c>
    </row>
    <row r="78" spans="1:6">
      <c r="A78">
        <v>2</v>
      </c>
      <c r="B78">
        <v>2</v>
      </c>
      <c r="C78">
        <v>1</v>
      </c>
      <c r="D78">
        <v>2</v>
      </c>
      <c r="E78">
        <v>7</v>
      </c>
      <c r="F78">
        <v>20</v>
      </c>
    </row>
    <row r="79" spans="1:6">
      <c r="A79">
        <v>2</v>
      </c>
      <c r="B79">
        <v>2</v>
      </c>
      <c r="C79">
        <v>0</v>
      </c>
      <c r="D79">
        <v>0</v>
      </c>
      <c r="E79">
        <v>0</v>
      </c>
      <c r="F79">
        <v>5</v>
      </c>
    </row>
    <row r="80" spans="1:6">
      <c r="A80">
        <v>2</v>
      </c>
      <c r="B80">
        <v>2</v>
      </c>
      <c r="C80">
        <v>28</v>
      </c>
      <c r="D80">
        <v>21</v>
      </c>
      <c r="E80">
        <v>22</v>
      </c>
      <c r="F80">
        <v>50</v>
      </c>
    </row>
    <row r="81" spans="1:6">
      <c r="A81">
        <v>2</v>
      </c>
      <c r="B81">
        <v>2</v>
      </c>
      <c r="C81">
        <v>14</v>
      </c>
      <c r="D81">
        <v>2</v>
      </c>
      <c r="E81">
        <v>3</v>
      </c>
      <c r="F81">
        <v>10</v>
      </c>
    </row>
  </sheetData>
  <mergeCells count="2">
    <mergeCell ref="S9:T9"/>
    <mergeCell ref="R9:R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1"/>
  <sheetViews>
    <sheetView topLeftCell="C16" workbookViewId="0">
      <selection activeCell="M220" sqref="M220:N220"/>
    </sheetView>
  </sheetViews>
  <sheetFormatPr defaultColWidth="8.88888888888889" defaultRowHeight="14.4"/>
  <sheetData>
    <row r="1" spans="1:25">
      <c r="C1" t="s">
        <v>0</v>
      </c>
      <c r="D1" t="s">
        <v>125</v>
      </c>
      <c r="S1" t="s">
        <v>0</v>
      </c>
      <c r="T1" t="s">
        <v>126</v>
      </c>
      <c r="W1" t="s">
        <v>127</v>
      </c>
    </row>
    <row r="2" spans="1:25">
      <c r="D2">
        <v>5</v>
      </c>
      <c r="E2">
        <v>10</v>
      </c>
      <c r="F2">
        <v>25</v>
      </c>
      <c r="G2">
        <v>50</v>
      </c>
      <c r="H2">
        <v>75</v>
      </c>
      <c r="I2">
        <v>90</v>
      </c>
      <c r="J2">
        <v>95</v>
      </c>
      <c r="T2" t="s">
        <v>128</v>
      </c>
      <c r="U2" t="s">
        <v>129</v>
      </c>
      <c r="V2" t="s">
        <v>130</v>
      </c>
      <c r="W2" t="s">
        <v>128</v>
      </c>
      <c r="X2" t="s">
        <v>129</v>
      </c>
      <c r="Y2" t="s">
        <v>130</v>
      </c>
    </row>
    <row r="3" spans="1:25">
      <c r="A3" t="s">
        <v>131</v>
      </c>
      <c r="B3" t="s">
        <v>2</v>
      </c>
      <c r="C3">
        <v>1</v>
      </c>
      <c r="D3">
        <v>30</v>
      </c>
      <c r="E3">
        <v>41</v>
      </c>
      <c r="F3">
        <v>51</v>
      </c>
      <c r="G3">
        <v>61</v>
      </c>
      <c r="H3">
        <v>67</v>
      </c>
      <c r="I3">
        <v>72</v>
      </c>
      <c r="J3" t="s">
        <v>132</v>
      </c>
      <c r="R3" t="s">
        <v>2</v>
      </c>
      <c r="S3">
        <v>1</v>
      </c>
      <c r="T3">
        <v>0.144</v>
      </c>
      <c r="U3">
        <v>19</v>
      </c>
      <c r="V3" s="48" t="s">
        <v>133</v>
      </c>
      <c r="W3">
        <v>0.907</v>
      </c>
      <c r="X3">
        <v>19</v>
      </c>
      <c r="Y3">
        <v>0.065</v>
      </c>
    </row>
    <row r="4" spans="1:25">
      <c r="C4">
        <v>2</v>
      </c>
      <c r="D4">
        <v>42.35</v>
      </c>
      <c r="E4">
        <v>49.3</v>
      </c>
      <c r="F4">
        <v>55.25</v>
      </c>
      <c r="G4">
        <v>66.5</v>
      </c>
      <c r="H4">
        <v>73.75</v>
      </c>
      <c r="I4">
        <v>75</v>
      </c>
      <c r="J4">
        <v>75.95</v>
      </c>
      <c r="S4">
        <v>2</v>
      </c>
      <c r="T4">
        <v>0.132</v>
      </c>
      <c r="U4">
        <v>20</v>
      </c>
      <c r="V4" s="48" t="s">
        <v>133</v>
      </c>
      <c r="W4">
        <v>0.914</v>
      </c>
      <c r="X4">
        <v>20</v>
      </c>
      <c r="Y4">
        <v>0.076</v>
      </c>
    </row>
    <row r="5" spans="1:25">
      <c r="C5">
        <v>3</v>
      </c>
      <c r="D5">
        <v>33.4</v>
      </c>
      <c r="E5">
        <v>41</v>
      </c>
      <c r="F5">
        <v>59</v>
      </c>
      <c r="G5">
        <v>68.5</v>
      </c>
      <c r="H5">
        <v>74</v>
      </c>
      <c r="I5">
        <v>76.9</v>
      </c>
      <c r="J5">
        <v>77.95</v>
      </c>
      <c r="S5">
        <v>3</v>
      </c>
      <c r="T5">
        <v>0.175</v>
      </c>
      <c r="U5">
        <v>20</v>
      </c>
      <c r="V5" s="48">
        <v>0.11</v>
      </c>
      <c r="W5">
        <v>0.849</v>
      </c>
      <c r="X5">
        <v>20</v>
      </c>
      <c r="Y5" s="48">
        <v>0.005</v>
      </c>
    </row>
    <row r="6" s="49" customFormat="1" spans="1:25">
      <c r="C6" s="49">
        <v>4</v>
      </c>
      <c r="D6" s="49">
        <v>37.2</v>
      </c>
      <c r="E6" s="49">
        <v>41.2</v>
      </c>
      <c r="F6" s="49">
        <v>50.5</v>
      </c>
      <c r="G6" s="49">
        <v>68</v>
      </c>
      <c r="H6" s="49">
        <v>72.75</v>
      </c>
      <c r="I6" s="49">
        <v>75.8</v>
      </c>
      <c r="J6" s="49">
        <v>76.95</v>
      </c>
      <c r="S6" s="49">
        <v>4</v>
      </c>
      <c r="T6" s="49">
        <v>0.222</v>
      </c>
      <c r="U6" s="49">
        <v>20</v>
      </c>
      <c r="V6" s="50">
        <v>0.011</v>
      </c>
      <c r="W6" s="49">
        <v>0.883</v>
      </c>
      <c r="X6" s="49">
        <v>20</v>
      </c>
      <c r="Y6" s="50">
        <v>0.02</v>
      </c>
    </row>
    <row r="7" s="49" customFormat="1" spans="1:25">
      <c r="B7" s="49" t="s">
        <v>3</v>
      </c>
      <c r="C7" s="49">
        <v>1</v>
      </c>
      <c r="D7" s="49">
        <v>7</v>
      </c>
      <c r="E7" s="49">
        <v>8</v>
      </c>
      <c r="F7" s="49">
        <v>11</v>
      </c>
      <c r="G7" s="49">
        <v>28</v>
      </c>
      <c r="H7" s="49">
        <v>51</v>
      </c>
      <c r="I7" s="49">
        <v>78</v>
      </c>
      <c r="J7" s="49" t="s">
        <v>132</v>
      </c>
      <c r="R7" s="49" t="s">
        <v>3</v>
      </c>
      <c r="S7" s="49">
        <v>1</v>
      </c>
      <c r="T7" s="49">
        <v>0.181</v>
      </c>
      <c r="U7" s="49">
        <v>19</v>
      </c>
      <c r="V7" s="49">
        <v>0.1</v>
      </c>
      <c r="W7" s="49">
        <v>0.88</v>
      </c>
      <c r="X7" s="49">
        <v>19</v>
      </c>
      <c r="Y7" s="50">
        <v>0.022</v>
      </c>
    </row>
    <row r="8" s="49" customFormat="1" spans="1:25">
      <c r="C8" s="49">
        <v>2</v>
      </c>
      <c r="D8" s="49">
        <v>7.05</v>
      </c>
      <c r="E8" s="49">
        <v>8</v>
      </c>
      <c r="F8" s="49">
        <v>11.25</v>
      </c>
      <c r="G8" s="49">
        <v>31</v>
      </c>
      <c r="H8" s="49">
        <v>87</v>
      </c>
      <c r="I8" s="49">
        <v>107.6</v>
      </c>
      <c r="J8" s="49">
        <v>147</v>
      </c>
      <c r="S8" s="49">
        <v>2</v>
      </c>
      <c r="T8" s="49">
        <v>0.224</v>
      </c>
      <c r="U8" s="49">
        <v>20</v>
      </c>
      <c r="V8" s="49">
        <v>0.01</v>
      </c>
      <c r="W8" s="49">
        <v>0.827</v>
      </c>
      <c r="X8" s="49">
        <v>20</v>
      </c>
      <c r="Y8" s="50">
        <v>0.002</v>
      </c>
    </row>
    <row r="9" s="49" customFormat="1" spans="1:25">
      <c r="C9" s="49">
        <v>3</v>
      </c>
      <c r="D9" s="49">
        <v>8</v>
      </c>
      <c r="E9" s="49">
        <v>8.2</v>
      </c>
      <c r="F9" s="49">
        <v>11</v>
      </c>
      <c r="G9" s="49">
        <v>24</v>
      </c>
      <c r="H9" s="49">
        <v>57.5</v>
      </c>
      <c r="I9" s="49">
        <v>82.8</v>
      </c>
      <c r="J9" s="49">
        <v>116.3</v>
      </c>
      <c r="S9" s="49">
        <v>3</v>
      </c>
      <c r="T9" s="49">
        <v>0.199</v>
      </c>
      <c r="U9" s="49">
        <v>20</v>
      </c>
      <c r="V9" s="49">
        <v>0.038</v>
      </c>
      <c r="W9" s="49">
        <v>0.845</v>
      </c>
      <c r="X9" s="49">
        <v>20</v>
      </c>
      <c r="Y9" s="50">
        <v>0.004</v>
      </c>
    </row>
    <row r="10" s="49" customFormat="1" spans="1:25">
      <c r="C10" s="49">
        <v>4</v>
      </c>
      <c r="D10" s="49">
        <v>7.05</v>
      </c>
      <c r="E10" s="49">
        <v>8</v>
      </c>
      <c r="F10" s="49">
        <v>12.25</v>
      </c>
      <c r="G10" s="49">
        <v>22</v>
      </c>
      <c r="H10" s="49">
        <v>38</v>
      </c>
      <c r="I10" s="49">
        <v>120</v>
      </c>
      <c r="J10" s="49">
        <v>131.75</v>
      </c>
      <c r="S10" s="49">
        <v>4</v>
      </c>
      <c r="T10" s="49">
        <v>0.266</v>
      </c>
      <c r="U10" s="49">
        <v>20</v>
      </c>
      <c r="V10" s="49">
        <v>0.001</v>
      </c>
      <c r="W10" s="49">
        <v>0.68</v>
      </c>
      <c r="X10" s="49">
        <v>20</v>
      </c>
      <c r="Y10" s="50">
        <v>0</v>
      </c>
    </row>
    <row r="11" s="49" customFormat="1" spans="1:25">
      <c r="B11" s="49" t="s">
        <v>6</v>
      </c>
      <c r="C11" s="49">
        <v>1</v>
      </c>
      <c r="D11" s="49">
        <v>20</v>
      </c>
      <c r="E11" s="49">
        <v>20</v>
      </c>
      <c r="F11" s="49">
        <v>20</v>
      </c>
      <c r="G11" s="49">
        <v>27</v>
      </c>
      <c r="H11" s="49">
        <v>30</v>
      </c>
      <c r="I11" s="49">
        <v>30</v>
      </c>
      <c r="J11" s="49" t="s">
        <v>132</v>
      </c>
      <c r="R11" s="49" t="s">
        <v>6</v>
      </c>
      <c r="S11" s="49">
        <v>1</v>
      </c>
      <c r="T11" s="49">
        <v>0.171</v>
      </c>
      <c r="U11" s="49">
        <v>19</v>
      </c>
      <c r="V11" s="50">
        <v>0.145</v>
      </c>
      <c r="W11" s="49" t="s">
        <v>134</v>
      </c>
      <c r="X11" s="49">
        <v>19</v>
      </c>
      <c r="Y11" s="50">
        <v>0.003</v>
      </c>
    </row>
    <row r="12" s="49" customFormat="1" spans="1:25">
      <c r="C12" s="49">
        <v>2</v>
      </c>
      <c r="D12" s="49">
        <v>20</v>
      </c>
      <c r="E12" s="49">
        <v>20</v>
      </c>
      <c r="F12" s="49">
        <v>22.25</v>
      </c>
      <c r="G12" s="49">
        <v>26</v>
      </c>
      <c r="H12" s="49">
        <v>28</v>
      </c>
      <c r="I12" s="49">
        <v>30</v>
      </c>
      <c r="J12" s="49">
        <v>30</v>
      </c>
      <c r="L12" s="49" t="s">
        <v>135</v>
      </c>
      <c r="S12" s="49">
        <v>2</v>
      </c>
      <c r="T12" s="49">
        <v>0.175</v>
      </c>
      <c r="U12" s="49">
        <v>20</v>
      </c>
      <c r="V12" s="50">
        <v>0.111</v>
      </c>
      <c r="W12" s="49">
        <v>0.903</v>
      </c>
      <c r="X12" s="49">
        <v>20</v>
      </c>
      <c r="Y12" s="50">
        <v>0.047</v>
      </c>
    </row>
    <row r="13" s="49" customFormat="1" spans="1:25">
      <c r="C13" s="49">
        <v>3</v>
      </c>
      <c r="D13" s="49">
        <v>14.3</v>
      </c>
      <c r="E13" s="49">
        <v>20</v>
      </c>
      <c r="F13" s="49">
        <v>21.25</v>
      </c>
      <c r="G13" s="49">
        <v>25.5</v>
      </c>
      <c r="H13" s="49">
        <v>28</v>
      </c>
      <c r="I13" s="49">
        <v>29</v>
      </c>
      <c r="J13" s="49">
        <v>29</v>
      </c>
      <c r="S13" s="49">
        <v>3</v>
      </c>
      <c r="T13" s="49">
        <v>0.139</v>
      </c>
      <c r="U13" s="49">
        <v>20</v>
      </c>
      <c r="V13" s="50" t="s">
        <v>133</v>
      </c>
      <c r="W13" s="49">
        <v>0.9</v>
      </c>
      <c r="X13" s="49">
        <v>20</v>
      </c>
      <c r="Y13" s="50">
        <v>0.041</v>
      </c>
    </row>
    <row r="14" s="49" customFormat="1" spans="1:25">
      <c r="C14" s="49">
        <v>4</v>
      </c>
      <c r="D14" s="49">
        <v>13.35</v>
      </c>
      <c r="E14" s="49">
        <v>20</v>
      </c>
      <c r="F14" s="49">
        <v>22</v>
      </c>
      <c r="G14" s="49">
        <v>26.5</v>
      </c>
      <c r="H14" s="49">
        <v>29</v>
      </c>
      <c r="I14" s="49">
        <v>30</v>
      </c>
      <c r="J14" s="49">
        <v>30</v>
      </c>
      <c r="S14" s="49">
        <v>4</v>
      </c>
      <c r="T14" s="49">
        <v>0.174</v>
      </c>
      <c r="U14" s="49">
        <v>20</v>
      </c>
      <c r="V14" s="50">
        <v>0.114</v>
      </c>
      <c r="W14" s="49">
        <v>0.89</v>
      </c>
      <c r="X14" s="49">
        <v>20</v>
      </c>
      <c r="Y14" s="50">
        <v>0.027</v>
      </c>
    </row>
    <row r="15" s="49" customFormat="1" spans="1:25">
      <c r="B15" s="49" t="s">
        <v>7</v>
      </c>
      <c r="C15" s="49">
        <v>1</v>
      </c>
      <c r="D15" s="49">
        <v>0</v>
      </c>
      <c r="E15" s="49">
        <v>0</v>
      </c>
      <c r="F15" s="49">
        <v>3</v>
      </c>
      <c r="G15" s="49">
        <v>6</v>
      </c>
      <c r="H15" s="49">
        <v>12</v>
      </c>
      <c r="I15" s="49">
        <v>20</v>
      </c>
      <c r="J15" s="49" t="s">
        <v>132</v>
      </c>
      <c r="R15" s="49" t="s">
        <v>7</v>
      </c>
      <c r="S15" s="49">
        <v>1</v>
      </c>
      <c r="T15" s="49">
        <v>0.156</v>
      </c>
      <c r="U15" s="49">
        <v>19</v>
      </c>
      <c r="V15" s="50" t="s">
        <v>133</v>
      </c>
      <c r="W15" s="49">
        <v>0.924</v>
      </c>
      <c r="X15" s="49">
        <v>19</v>
      </c>
      <c r="Y15" s="49">
        <v>0.136</v>
      </c>
    </row>
    <row r="16" s="49" customFormat="1" spans="1:25">
      <c r="C16" s="49">
        <v>2</v>
      </c>
      <c r="D16" s="49">
        <v>0</v>
      </c>
      <c r="E16" s="49">
        <v>0</v>
      </c>
      <c r="F16" s="49">
        <v>4</v>
      </c>
      <c r="G16" s="49">
        <v>7</v>
      </c>
      <c r="H16" s="49">
        <v>16</v>
      </c>
      <c r="I16" s="49">
        <v>19.8</v>
      </c>
      <c r="J16" s="49">
        <v>20</v>
      </c>
      <c r="S16" s="49">
        <v>2</v>
      </c>
      <c r="T16" s="49">
        <v>0.178</v>
      </c>
      <c r="U16" s="49">
        <v>20</v>
      </c>
      <c r="V16" s="50">
        <v>0.098</v>
      </c>
      <c r="W16" s="49">
        <v>0.916</v>
      </c>
      <c r="X16" s="49">
        <v>20</v>
      </c>
      <c r="Y16" s="49">
        <v>0.083</v>
      </c>
    </row>
    <row r="17" s="49" customFormat="1" spans="2:25">
      <c r="C17" s="49">
        <v>3</v>
      </c>
      <c r="D17" s="49">
        <v>0</v>
      </c>
      <c r="E17" s="49">
        <v>0</v>
      </c>
      <c r="F17" s="49">
        <v>4</v>
      </c>
      <c r="G17" s="49">
        <v>5.5</v>
      </c>
      <c r="H17" s="49">
        <v>16.75</v>
      </c>
      <c r="I17" s="49">
        <v>25.6</v>
      </c>
      <c r="J17" s="49">
        <v>27.9</v>
      </c>
      <c r="S17" s="49">
        <v>3</v>
      </c>
      <c r="T17" s="49">
        <v>0.214</v>
      </c>
      <c r="U17" s="49">
        <v>20</v>
      </c>
      <c r="V17" s="49">
        <v>0.017</v>
      </c>
      <c r="W17" s="49">
        <v>0.882</v>
      </c>
      <c r="X17" s="49">
        <v>20</v>
      </c>
      <c r="Y17" s="49">
        <v>0.019</v>
      </c>
    </row>
    <row r="18" s="49" customFormat="1" spans="2:25">
      <c r="C18" s="49">
        <v>4</v>
      </c>
      <c r="D18" s="49">
        <v>0</v>
      </c>
      <c r="E18" s="49">
        <v>0</v>
      </c>
      <c r="F18" s="49">
        <v>4.5</v>
      </c>
      <c r="G18" s="49">
        <v>10.5</v>
      </c>
      <c r="H18" s="49">
        <v>19.5</v>
      </c>
      <c r="I18" s="49">
        <v>26.7</v>
      </c>
      <c r="J18" s="49">
        <v>27.95</v>
      </c>
      <c r="S18" s="49">
        <v>4</v>
      </c>
      <c r="T18" s="49">
        <v>0.129</v>
      </c>
      <c r="U18" s="49">
        <v>20</v>
      </c>
      <c r="V18" s="49" t="s">
        <v>133</v>
      </c>
      <c r="W18" s="49">
        <v>0.938</v>
      </c>
      <c r="X18" s="49">
        <v>20</v>
      </c>
      <c r="Y18" s="49">
        <v>0.22</v>
      </c>
    </row>
    <row r="19" s="49" customFormat="1" spans="2:25">
      <c r="B19" s="49" t="s">
        <v>8</v>
      </c>
      <c r="C19" s="49">
        <v>1</v>
      </c>
      <c r="D19" s="49">
        <v>3</v>
      </c>
      <c r="E19" s="49">
        <v>4</v>
      </c>
      <c r="F19" s="49">
        <v>6</v>
      </c>
      <c r="G19" s="49">
        <v>12</v>
      </c>
      <c r="H19" s="49">
        <v>22</v>
      </c>
      <c r="I19" s="49">
        <v>28</v>
      </c>
      <c r="J19" s="49" t="s">
        <v>132</v>
      </c>
      <c r="R19" s="49" t="s">
        <v>8</v>
      </c>
      <c r="S19" s="49">
        <v>1</v>
      </c>
      <c r="T19" s="49">
        <v>0.126</v>
      </c>
      <c r="U19" s="49">
        <v>19</v>
      </c>
      <c r="V19" s="49" t="s">
        <v>133</v>
      </c>
      <c r="W19" s="49">
        <v>0.921</v>
      </c>
      <c r="X19" s="49">
        <v>19</v>
      </c>
      <c r="Y19" s="49">
        <v>0.118</v>
      </c>
    </row>
    <row r="20" s="49" customFormat="1" spans="2:25">
      <c r="C20" s="49">
        <v>2</v>
      </c>
      <c r="D20" s="49">
        <v>1.15</v>
      </c>
      <c r="E20" s="49">
        <v>4.1</v>
      </c>
      <c r="F20" s="49">
        <v>7.25</v>
      </c>
      <c r="G20" s="49">
        <v>13.5</v>
      </c>
      <c r="H20" s="49">
        <v>20</v>
      </c>
      <c r="I20" s="49">
        <v>32.5</v>
      </c>
      <c r="J20" s="49">
        <v>35.85</v>
      </c>
      <c r="S20" s="49">
        <v>2</v>
      </c>
      <c r="T20" s="49">
        <v>0.153</v>
      </c>
      <c r="U20" s="49">
        <v>20</v>
      </c>
      <c r="V20" s="49" t="s">
        <v>133</v>
      </c>
      <c r="W20" s="49">
        <v>0.936</v>
      </c>
      <c r="X20" s="49">
        <v>20</v>
      </c>
      <c r="Y20" s="49">
        <v>0.203</v>
      </c>
    </row>
    <row r="21" s="49" customFormat="1" ht="15" customHeight="1" spans="2:25">
      <c r="C21" s="49">
        <v>3</v>
      </c>
      <c r="D21" s="49">
        <v>4.1</v>
      </c>
      <c r="E21" s="49">
        <v>6</v>
      </c>
      <c r="F21" s="49">
        <v>6.25</v>
      </c>
      <c r="G21" s="49">
        <v>17</v>
      </c>
      <c r="H21" s="49">
        <v>27</v>
      </c>
      <c r="I21" s="49">
        <v>28.9</v>
      </c>
      <c r="J21" s="49">
        <v>32.8</v>
      </c>
      <c r="S21" s="49">
        <v>3</v>
      </c>
      <c r="T21" s="49">
        <v>0.2</v>
      </c>
      <c r="U21" s="49">
        <v>20</v>
      </c>
      <c r="V21" s="49">
        <v>0.036</v>
      </c>
      <c r="W21" s="49">
        <v>0.881</v>
      </c>
      <c r="X21" s="49">
        <v>20</v>
      </c>
      <c r="Y21" s="50">
        <v>0.018</v>
      </c>
    </row>
    <row r="22" s="49" customFormat="1" spans="2:25">
      <c r="C22" s="49">
        <v>4</v>
      </c>
      <c r="D22" s="49">
        <v>4.05</v>
      </c>
      <c r="E22" s="49">
        <v>5.1</v>
      </c>
      <c r="F22" s="49">
        <v>12</v>
      </c>
      <c r="G22" s="49">
        <v>27.5</v>
      </c>
      <c r="H22" s="49">
        <v>28</v>
      </c>
      <c r="I22" s="49">
        <v>30.9</v>
      </c>
      <c r="J22" s="49">
        <v>32.9</v>
      </c>
      <c r="S22" s="49">
        <v>4</v>
      </c>
      <c r="T22" s="49">
        <v>0.311</v>
      </c>
      <c r="U22" s="49">
        <v>20</v>
      </c>
      <c r="V22" s="49">
        <v>0</v>
      </c>
      <c r="W22" s="49">
        <v>0.79</v>
      </c>
      <c r="X22" s="49">
        <v>20</v>
      </c>
      <c r="Y22" s="50">
        <v>0.001</v>
      </c>
    </row>
    <row r="23" s="49" customFormat="1" spans="2:25">
      <c r="B23" s="49" t="s">
        <v>9</v>
      </c>
      <c r="C23" s="49">
        <v>1</v>
      </c>
      <c r="D23" s="49">
        <v>0</v>
      </c>
      <c r="E23" s="49">
        <v>0</v>
      </c>
      <c r="F23" s="49">
        <v>0</v>
      </c>
      <c r="G23" s="49">
        <v>2</v>
      </c>
      <c r="H23" s="49">
        <v>14</v>
      </c>
      <c r="I23" s="49">
        <v>17</v>
      </c>
      <c r="J23" s="49" t="s">
        <v>132</v>
      </c>
      <c r="R23" s="50" t="s">
        <v>9</v>
      </c>
      <c r="S23" s="50">
        <v>1</v>
      </c>
      <c r="T23" s="50">
        <v>0.282</v>
      </c>
      <c r="U23" s="50">
        <v>19</v>
      </c>
      <c r="V23" s="50">
        <v>0</v>
      </c>
      <c r="W23" s="50">
        <v>0.778</v>
      </c>
      <c r="X23" s="50">
        <v>19</v>
      </c>
      <c r="Y23" s="50">
        <v>0.001</v>
      </c>
    </row>
    <row r="24" s="49" customFormat="1" spans="2:25">
      <c r="C24" s="49">
        <v>2</v>
      </c>
      <c r="D24" s="49">
        <v>-6.65</v>
      </c>
      <c r="E24" s="49">
        <v>0</v>
      </c>
      <c r="F24" s="49">
        <v>0.25</v>
      </c>
      <c r="G24" s="49">
        <v>4</v>
      </c>
      <c r="H24" s="49">
        <v>8</v>
      </c>
      <c r="I24" s="49">
        <v>17.8</v>
      </c>
      <c r="J24" s="49">
        <v>25.6</v>
      </c>
      <c r="R24" s="50"/>
      <c r="S24" s="50">
        <v>2</v>
      </c>
      <c r="T24" s="50">
        <v>0.236</v>
      </c>
      <c r="U24" s="50">
        <v>20</v>
      </c>
      <c r="V24" s="50">
        <v>0.005</v>
      </c>
      <c r="W24" s="50">
        <v>0.883</v>
      </c>
      <c r="X24" s="50">
        <v>20</v>
      </c>
      <c r="Y24" s="50">
        <v>0.02</v>
      </c>
    </row>
    <row r="25" s="49" customFormat="1" spans="2:25">
      <c r="C25" s="49">
        <v>3</v>
      </c>
      <c r="D25" s="49">
        <v>-5.7</v>
      </c>
      <c r="E25" s="49">
        <v>0</v>
      </c>
      <c r="F25" s="49">
        <v>1.25</v>
      </c>
      <c r="G25" s="49">
        <v>6</v>
      </c>
      <c r="H25" s="49">
        <v>11.25</v>
      </c>
      <c r="I25" s="49">
        <v>16</v>
      </c>
      <c r="J25" s="49">
        <v>23.6</v>
      </c>
      <c r="S25" s="49">
        <v>3</v>
      </c>
      <c r="T25" s="49">
        <v>0.133</v>
      </c>
      <c r="U25" s="49">
        <v>20</v>
      </c>
      <c r="V25" s="50" t="s">
        <v>133</v>
      </c>
      <c r="W25" s="49">
        <v>0.95</v>
      </c>
      <c r="X25" s="49">
        <v>20</v>
      </c>
      <c r="Y25" s="49">
        <v>0.367</v>
      </c>
    </row>
    <row r="26" s="49" customFormat="1" spans="2:25">
      <c r="C26" s="49">
        <v>4</v>
      </c>
      <c r="D26" s="49">
        <v>0.05</v>
      </c>
      <c r="E26" s="49">
        <v>1.1</v>
      </c>
      <c r="F26" s="49">
        <v>2.25</v>
      </c>
      <c r="G26" s="49">
        <v>9.5</v>
      </c>
      <c r="H26" s="49">
        <v>16.75</v>
      </c>
      <c r="I26" s="49">
        <v>20.9</v>
      </c>
      <c r="J26" s="49">
        <v>32.4</v>
      </c>
      <c r="S26" s="49">
        <v>4</v>
      </c>
      <c r="T26" s="49">
        <v>0.175</v>
      </c>
      <c r="U26" s="49">
        <v>20</v>
      </c>
      <c r="V26" s="50">
        <v>0.109</v>
      </c>
      <c r="W26" s="49">
        <v>0.901</v>
      </c>
      <c r="X26" s="49">
        <v>20</v>
      </c>
      <c r="Y26" s="50">
        <v>0.043</v>
      </c>
    </row>
    <row r="27" s="49" customFormat="1" spans="2:25">
      <c r="B27" s="49" t="s">
        <v>10</v>
      </c>
      <c r="C27" s="49">
        <v>1</v>
      </c>
      <c r="D27" s="49">
        <v>0</v>
      </c>
      <c r="E27" s="49">
        <v>0</v>
      </c>
      <c r="F27" s="49">
        <v>0</v>
      </c>
      <c r="G27" s="49">
        <v>0</v>
      </c>
      <c r="H27" s="49">
        <v>2</v>
      </c>
      <c r="I27" s="49">
        <v>17</v>
      </c>
      <c r="J27" s="49" t="s">
        <v>132</v>
      </c>
      <c r="R27" s="50" t="s">
        <v>10</v>
      </c>
      <c r="S27" s="50">
        <v>1</v>
      </c>
      <c r="T27" s="50">
        <v>0.364</v>
      </c>
      <c r="U27" s="50">
        <v>19</v>
      </c>
      <c r="V27" s="50">
        <v>0</v>
      </c>
      <c r="W27" s="50">
        <v>0.559</v>
      </c>
      <c r="X27" s="50">
        <v>19</v>
      </c>
      <c r="Y27" s="50">
        <v>0</v>
      </c>
    </row>
    <row r="28" s="49" customFormat="1" spans="2:25">
      <c r="C28" s="49">
        <v>2</v>
      </c>
      <c r="D28" s="49">
        <v>0</v>
      </c>
      <c r="E28" s="49">
        <v>0</v>
      </c>
      <c r="F28" s="49">
        <v>0</v>
      </c>
      <c r="G28" s="49">
        <v>0.5</v>
      </c>
      <c r="H28" s="49">
        <v>2</v>
      </c>
      <c r="I28" s="49">
        <v>15.6</v>
      </c>
      <c r="J28" s="49">
        <v>16.95</v>
      </c>
      <c r="R28" s="50"/>
      <c r="S28" s="50">
        <v>2</v>
      </c>
      <c r="T28" s="50">
        <v>0.388</v>
      </c>
      <c r="U28" s="50">
        <v>20</v>
      </c>
      <c r="V28" s="50">
        <v>0</v>
      </c>
      <c r="W28" s="50">
        <v>0.629</v>
      </c>
      <c r="X28" s="50">
        <v>20</v>
      </c>
      <c r="Y28" s="50">
        <v>0</v>
      </c>
    </row>
    <row r="29" s="49" customFormat="1" spans="2:25">
      <c r="C29" s="49">
        <v>3</v>
      </c>
      <c r="D29" s="49">
        <v>0</v>
      </c>
      <c r="E29" s="49">
        <v>0</v>
      </c>
      <c r="F29" s="49">
        <v>0</v>
      </c>
      <c r="G29" s="49">
        <v>0</v>
      </c>
      <c r="H29" s="49">
        <v>1.75</v>
      </c>
      <c r="I29" s="49">
        <v>19.7</v>
      </c>
      <c r="J29" s="49">
        <v>23.8</v>
      </c>
      <c r="R29" s="50"/>
      <c r="S29" s="50">
        <v>3</v>
      </c>
      <c r="T29" s="50">
        <v>0.419</v>
      </c>
      <c r="U29" s="50">
        <v>20</v>
      </c>
      <c r="V29" s="50">
        <v>0</v>
      </c>
      <c r="W29" s="50">
        <v>0.502</v>
      </c>
      <c r="X29" s="50">
        <v>20</v>
      </c>
      <c r="Y29" s="50">
        <v>0</v>
      </c>
    </row>
    <row r="30" s="49" customFormat="1" spans="2:25">
      <c r="C30" s="49">
        <v>4</v>
      </c>
      <c r="D30" s="49">
        <v>0</v>
      </c>
      <c r="E30" s="49">
        <v>0</v>
      </c>
      <c r="F30" s="49">
        <v>0.25</v>
      </c>
      <c r="G30" s="49">
        <v>2</v>
      </c>
      <c r="H30" s="49">
        <v>6.75</v>
      </c>
      <c r="I30" s="49">
        <v>13.9</v>
      </c>
      <c r="J30" s="49">
        <v>14</v>
      </c>
      <c r="R30" s="50"/>
      <c r="S30" s="50">
        <v>4</v>
      </c>
      <c r="T30" s="50">
        <v>0.242</v>
      </c>
      <c r="U30" s="50">
        <v>20</v>
      </c>
      <c r="V30" s="50">
        <v>0.003</v>
      </c>
      <c r="W30" s="50">
        <v>0.829</v>
      </c>
      <c r="X30" s="50">
        <v>20</v>
      </c>
      <c r="Y30" s="50">
        <v>0.002</v>
      </c>
    </row>
    <row r="31" s="49" customFormat="1" spans="2:25">
      <c r="B31" s="49" t="s">
        <v>11</v>
      </c>
      <c r="C31" s="49">
        <v>1</v>
      </c>
      <c r="D31" s="49">
        <v>0</v>
      </c>
      <c r="E31" s="49">
        <v>0</v>
      </c>
      <c r="F31" s="49">
        <v>1</v>
      </c>
      <c r="G31" s="49">
        <v>5</v>
      </c>
      <c r="H31" s="49">
        <v>12</v>
      </c>
      <c r="I31" s="49">
        <v>29</v>
      </c>
      <c r="J31" s="49" t="s">
        <v>132</v>
      </c>
      <c r="R31" s="50" t="s">
        <v>11</v>
      </c>
      <c r="S31" s="50">
        <v>1</v>
      </c>
      <c r="T31" s="50">
        <v>0.309</v>
      </c>
      <c r="U31" s="50">
        <v>19</v>
      </c>
      <c r="V31" s="50">
        <v>0</v>
      </c>
      <c r="W31" s="50">
        <v>0.746</v>
      </c>
      <c r="X31" s="50">
        <v>19</v>
      </c>
      <c r="Y31" s="50">
        <v>0</v>
      </c>
    </row>
    <row r="32" s="49" customFormat="1" spans="2:25">
      <c r="C32" s="49">
        <v>2</v>
      </c>
      <c r="D32" s="49">
        <v>0</v>
      </c>
      <c r="E32" s="49">
        <v>0</v>
      </c>
      <c r="F32" s="49">
        <v>1</v>
      </c>
      <c r="G32" s="49">
        <v>4</v>
      </c>
      <c r="H32" s="49">
        <v>12.25</v>
      </c>
      <c r="I32" s="49">
        <v>17.8</v>
      </c>
      <c r="J32" s="49">
        <v>31.3</v>
      </c>
      <c r="R32" s="50"/>
      <c r="S32" s="50">
        <v>2</v>
      </c>
      <c r="T32" s="50">
        <v>0.201</v>
      </c>
      <c r="U32" s="50">
        <v>20</v>
      </c>
      <c r="V32" s="50">
        <v>0.033</v>
      </c>
      <c r="W32" s="50">
        <v>0.802</v>
      </c>
      <c r="X32" s="50">
        <v>20</v>
      </c>
      <c r="Y32" s="50">
        <v>0.001</v>
      </c>
    </row>
    <row r="33" s="49" customFormat="1" spans="2:25">
      <c r="C33" s="49">
        <v>3</v>
      </c>
      <c r="D33" s="49">
        <v>0</v>
      </c>
      <c r="E33" s="49">
        <v>0</v>
      </c>
      <c r="F33" s="49">
        <v>1</v>
      </c>
      <c r="G33" s="49">
        <v>3</v>
      </c>
      <c r="H33" s="49">
        <v>12.75</v>
      </c>
      <c r="I33" s="49">
        <v>26.5</v>
      </c>
      <c r="J33" s="49">
        <v>29.85</v>
      </c>
      <c r="R33" s="50"/>
      <c r="S33" s="50">
        <v>3</v>
      </c>
      <c r="T33" s="50">
        <v>0.29</v>
      </c>
      <c r="U33" s="50">
        <v>20</v>
      </c>
      <c r="V33" s="50">
        <v>0</v>
      </c>
      <c r="W33" s="50">
        <v>0.773</v>
      </c>
      <c r="X33" s="50">
        <v>20</v>
      </c>
      <c r="Y33" s="50">
        <v>0</v>
      </c>
    </row>
    <row r="34" s="49" customFormat="1" spans="2:25">
      <c r="C34" s="49">
        <v>4</v>
      </c>
      <c r="D34" s="49">
        <v>0</v>
      </c>
      <c r="E34" s="49">
        <v>0.2</v>
      </c>
      <c r="F34" s="49">
        <v>11.25</v>
      </c>
      <c r="G34" s="49">
        <v>17</v>
      </c>
      <c r="H34" s="49">
        <v>20.75</v>
      </c>
      <c r="I34" s="49">
        <v>26</v>
      </c>
      <c r="J34" s="49">
        <v>34.55</v>
      </c>
      <c r="S34" s="49">
        <v>4</v>
      </c>
      <c r="T34" s="49">
        <v>0.129</v>
      </c>
      <c r="U34" s="49">
        <v>20</v>
      </c>
      <c r="V34" s="50" t="s">
        <v>133</v>
      </c>
      <c r="W34" s="49">
        <v>0.942</v>
      </c>
      <c r="X34" s="49">
        <v>20</v>
      </c>
      <c r="Y34" s="49">
        <v>0.262</v>
      </c>
    </row>
    <row r="35" s="49" customFormat="1" spans="2:25">
      <c r="B35" s="49" t="s">
        <v>12</v>
      </c>
      <c r="C35" s="49">
        <v>1</v>
      </c>
      <c r="D35" s="49">
        <v>0</v>
      </c>
      <c r="E35" s="49">
        <v>0</v>
      </c>
      <c r="F35" s="49">
        <v>1</v>
      </c>
      <c r="G35" s="49">
        <v>2</v>
      </c>
      <c r="H35" s="49">
        <v>6</v>
      </c>
      <c r="I35" s="49">
        <v>16</v>
      </c>
      <c r="J35" s="49" t="s">
        <v>132</v>
      </c>
      <c r="R35" s="49" t="s">
        <v>12</v>
      </c>
      <c r="S35" s="49">
        <v>1</v>
      </c>
      <c r="T35" s="49">
        <v>0.23</v>
      </c>
      <c r="U35" s="49">
        <v>19</v>
      </c>
      <c r="V35" s="49">
        <v>0.009</v>
      </c>
      <c r="W35" s="49">
        <v>0.783</v>
      </c>
      <c r="X35" s="49">
        <v>19</v>
      </c>
      <c r="Y35" s="50">
        <v>0.001</v>
      </c>
    </row>
    <row r="36" s="49" customFormat="1" spans="2:25">
      <c r="C36" s="49">
        <v>2</v>
      </c>
      <c r="D36" s="49">
        <v>-3.8</v>
      </c>
      <c r="E36" s="49">
        <v>0</v>
      </c>
      <c r="F36" s="49">
        <v>0</v>
      </c>
      <c r="G36" s="49">
        <v>1.5</v>
      </c>
      <c r="H36" s="49">
        <v>6</v>
      </c>
      <c r="I36" s="49">
        <v>15.5</v>
      </c>
      <c r="J36" s="49">
        <v>16</v>
      </c>
      <c r="S36" s="49">
        <v>2</v>
      </c>
      <c r="T36" s="49">
        <v>0.201</v>
      </c>
      <c r="U36" s="49">
        <v>20</v>
      </c>
      <c r="V36" s="49">
        <v>0.034</v>
      </c>
      <c r="W36" s="49">
        <v>0.831</v>
      </c>
      <c r="X36" s="49">
        <v>20</v>
      </c>
      <c r="Y36" s="50">
        <v>0.003</v>
      </c>
    </row>
    <row r="37" s="49" customFormat="1" spans="2:25">
      <c r="C37" s="49">
        <v>3</v>
      </c>
      <c r="D37" s="49">
        <v>0</v>
      </c>
      <c r="E37" s="49">
        <v>0</v>
      </c>
      <c r="F37" s="49">
        <v>0.25</v>
      </c>
      <c r="G37" s="49">
        <v>2</v>
      </c>
      <c r="H37" s="49">
        <v>6.75</v>
      </c>
      <c r="I37" s="49">
        <v>12.7</v>
      </c>
      <c r="J37" s="49">
        <v>15.85</v>
      </c>
      <c r="S37" s="49">
        <v>3</v>
      </c>
      <c r="T37" s="49">
        <v>0.22</v>
      </c>
      <c r="U37" s="49">
        <v>20</v>
      </c>
      <c r="V37" s="49">
        <v>0.012</v>
      </c>
      <c r="W37" s="49">
        <v>0.823</v>
      </c>
      <c r="X37" s="49">
        <v>20</v>
      </c>
      <c r="Y37" s="50">
        <v>0.002</v>
      </c>
    </row>
    <row r="38" s="49" customFormat="1" spans="2:25">
      <c r="C38" s="49">
        <v>4</v>
      </c>
      <c r="D38" s="49">
        <v>0</v>
      </c>
      <c r="E38" s="49">
        <v>0.1</v>
      </c>
      <c r="F38" s="49">
        <v>2.5</v>
      </c>
      <c r="G38" s="49">
        <v>9</v>
      </c>
      <c r="H38" s="49">
        <v>18.25</v>
      </c>
      <c r="I38" s="49">
        <v>21.8</v>
      </c>
      <c r="J38" s="49">
        <v>32.45</v>
      </c>
      <c r="S38" s="49">
        <v>4</v>
      </c>
      <c r="T38" s="49">
        <v>0.15</v>
      </c>
      <c r="U38" s="49">
        <v>20</v>
      </c>
      <c r="V38" s="50" t="s">
        <v>133</v>
      </c>
      <c r="W38" s="49">
        <v>0.936</v>
      </c>
      <c r="X38" s="49">
        <v>20</v>
      </c>
      <c r="Y38" s="49">
        <v>0.205</v>
      </c>
    </row>
    <row r="39" s="49" customFormat="1" spans="2:25">
      <c r="B39" s="49" t="s">
        <v>13</v>
      </c>
      <c r="C39" s="49">
        <v>1</v>
      </c>
      <c r="D39" s="49">
        <v>0</v>
      </c>
      <c r="E39" s="49">
        <v>0</v>
      </c>
      <c r="F39" s="49">
        <v>0</v>
      </c>
      <c r="G39" s="49">
        <v>0</v>
      </c>
      <c r="H39" s="49">
        <v>6</v>
      </c>
      <c r="I39" s="49">
        <v>34</v>
      </c>
      <c r="J39" s="49" t="s">
        <v>132</v>
      </c>
      <c r="R39" s="50" t="s">
        <v>13</v>
      </c>
      <c r="S39" s="50">
        <v>1</v>
      </c>
      <c r="T39" s="50">
        <v>0.329</v>
      </c>
      <c r="U39" s="50">
        <v>19</v>
      </c>
      <c r="V39" s="50">
        <v>0</v>
      </c>
      <c r="W39" s="50">
        <v>0.553</v>
      </c>
      <c r="X39" s="50">
        <v>19</v>
      </c>
      <c r="Y39" s="50">
        <v>0</v>
      </c>
    </row>
    <row r="40" s="49" customFormat="1" spans="2:25">
      <c r="C40" s="49">
        <v>2</v>
      </c>
      <c r="D40" s="49">
        <v>0</v>
      </c>
      <c r="E40" s="49">
        <v>0</v>
      </c>
      <c r="F40" s="49">
        <v>0</v>
      </c>
      <c r="G40" s="49">
        <v>0</v>
      </c>
      <c r="H40" s="49">
        <v>8</v>
      </c>
      <c r="I40" s="49">
        <v>17.7</v>
      </c>
      <c r="J40" s="49">
        <v>29.4</v>
      </c>
      <c r="R40" s="50"/>
      <c r="S40" s="50">
        <v>2</v>
      </c>
      <c r="T40" s="50">
        <v>0.373</v>
      </c>
      <c r="U40" s="50">
        <v>20</v>
      </c>
      <c r="V40" s="50">
        <v>0</v>
      </c>
      <c r="W40" s="50">
        <v>0.63</v>
      </c>
      <c r="X40" s="50">
        <v>20</v>
      </c>
      <c r="Y40" s="50">
        <v>0</v>
      </c>
    </row>
    <row r="41" s="49" customFormat="1" spans="2:25">
      <c r="C41" s="49">
        <v>3</v>
      </c>
      <c r="D41" s="49">
        <v>0</v>
      </c>
      <c r="E41" s="49">
        <v>0</v>
      </c>
      <c r="F41" s="49">
        <v>0</v>
      </c>
      <c r="G41" s="49">
        <v>0</v>
      </c>
      <c r="H41" s="49">
        <v>5.5</v>
      </c>
      <c r="I41" s="49">
        <v>30</v>
      </c>
      <c r="J41" s="49">
        <v>43.3</v>
      </c>
      <c r="R41" s="50"/>
      <c r="S41" s="50">
        <v>3</v>
      </c>
      <c r="T41" s="50">
        <v>0.34</v>
      </c>
      <c r="U41" s="50">
        <v>20</v>
      </c>
      <c r="V41" s="50">
        <v>0</v>
      </c>
      <c r="W41" s="50">
        <v>0.59</v>
      </c>
      <c r="X41" s="50">
        <v>20</v>
      </c>
      <c r="Y41" s="50">
        <v>0</v>
      </c>
    </row>
    <row r="42" s="49" customFormat="1" spans="2:25">
      <c r="C42" s="49">
        <v>4</v>
      </c>
      <c r="D42" s="49">
        <v>0</v>
      </c>
      <c r="E42" s="49">
        <v>0</v>
      </c>
      <c r="F42" s="49">
        <v>1</v>
      </c>
      <c r="G42" s="49">
        <v>6</v>
      </c>
      <c r="H42" s="49">
        <v>13.75</v>
      </c>
      <c r="I42" s="49">
        <v>30.5</v>
      </c>
      <c r="J42" s="49">
        <v>37.65</v>
      </c>
      <c r="R42" s="50"/>
      <c r="S42" s="50">
        <v>4</v>
      </c>
      <c r="T42" s="50">
        <v>0.218</v>
      </c>
      <c r="U42" s="50">
        <v>20</v>
      </c>
      <c r="V42" s="50">
        <v>0.013</v>
      </c>
      <c r="W42" s="50">
        <v>0.784</v>
      </c>
      <c r="X42" s="50">
        <v>20</v>
      </c>
      <c r="Y42" s="50">
        <v>0.001</v>
      </c>
    </row>
    <row r="43" s="49" customFormat="1" spans="2:25">
      <c r="B43" s="49" t="s">
        <v>14</v>
      </c>
      <c r="C43" s="49">
        <v>1</v>
      </c>
      <c r="D43" s="49">
        <v>0</v>
      </c>
      <c r="E43" s="49">
        <v>0</v>
      </c>
      <c r="F43" s="49">
        <v>2</v>
      </c>
      <c r="G43" s="49">
        <v>10</v>
      </c>
      <c r="H43" s="49">
        <v>15</v>
      </c>
      <c r="I43" s="49">
        <v>50</v>
      </c>
      <c r="J43" s="49" t="s">
        <v>132</v>
      </c>
      <c r="R43" s="50" t="s">
        <v>14</v>
      </c>
      <c r="S43" s="50">
        <v>1</v>
      </c>
      <c r="T43" s="50">
        <v>0.241</v>
      </c>
      <c r="U43" s="50">
        <v>19</v>
      </c>
      <c r="V43" s="50">
        <v>0.005</v>
      </c>
      <c r="W43" s="50">
        <v>0.737</v>
      </c>
      <c r="X43" s="50">
        <v>19</v>
      </c>
      <c r="Y43" s="50">
        <v>0</v>
      </c>
    </row>
    <row r="44" s="49" customFormat="1" spans="2:25">
      <c r="C44" s="49">
        <v>2</v>
      </c>
      <c r="D44" s="49">
        <v>0</v>
      </c>
      <c r="E44" s="49">
        <v>0</v>
      </c>
      <c r="F44" s="49">
        <v>0</v>
      </c>
      <c r="G44" s="49">
        <v>5.5</v>
      </c>
      <c r="H44" s="49">
        <v>23.75</v>
      </c>
      <c r="I44" s="49">
        <v>36.3</v>
      </c>
      <c r="J44" s="49">
        <v>56</v>
      </c>
      <c r="R44" s="50"/>
      <c r="S44" s="50">
        <v>2</v>
      </c>
      <c r="T44" s="50">
        <v>0.232</v>
      </c>
      <c r="U44" s="50">
        <v>20</v>
      </c>
      <c r="V44" s="50">
        <v>0.006</v>
      </c>
      <c r="W44" s="50">
        <v>0.792</v>
      </c>
      <c r="X44" s="50">
        <v>20</v>
      </c>
      <c r="Y44" s="50">
        <v>0.001</v>
      </c>
    </row>
    <row r="45" s="49" customFormat="1" spans="2:25">
      <c r="C45" s="49">
        <v>3</v>
      </c>
      <c r="D45" s="49">
        <v>0</v>
      </c>
      <c r="E45" s="49">
        <v>0</v>
      </c>
      <c r="F45" s="49">
        <v>0.25</v>
      </c>
      <c r="G45" s="49">
        <v>2.5</v>
      </c>
      <c r="H45" s="49">
        <v>22</v>
      </c>
      <c r="I45" s="49">
        <v>46.9</v>
      </c>
      <c r="J45" s="49">
        <v>50.85</v>
      </c>
      <c r="R45" s="50"/>
      <c r="S45" s="50">
        <v>3</v>
      </c>
      <c r="T45" s="50">
        <v>0.324</v>
      </c>
      <c r="U45" s="50">
        <v>20</v>
      </c>
      <c r="V45" s="50">
        <v>0</v>
      </c>
      <c r="W45" s="50">
        <v>0.769</v>
      </c>
      <c r="X45" s="50">
        <v>20</v>
      </c>
      <c r="Y45" s="50">
        <v>0</v>
      </c>
    </row>
    <row r="46" s="49" customFormat="1" spans="2:25">
      <c r="C46" s="49">
        <v>4</v>
      </c>
      <c r="D46" s="49">
        <v>0</v>
      </c>
      <c r="E46" s="49">
        <v>0.1</v>
      </c>
      <c r="F46" s="49">
        <v>13.5</v>
      </c>
      <c r="G46" s="49">
        <v>27</v>
      </c>
      <c r="H46" s="49">
        <v>42</v>
      </c>
      <c r="I46" s="49">
        <v>52.3</v>
      </c>
      <c r="J46" s="49">
        <v>54.9</v>
      </c>
      <c r="S46" s="49">
        <v>4</v>
      </c>
      <c r="T46" s="49">
        <v>0.125</v>
      </c>
      <c r="U46" s="49">
        <v>20</v>
      </c>
      <c r="V46" s="50" t="s">
        <v>133</v>
      </c>
      <c r="W46" s="49">
        <v>0.945</v>
      </c>
      <c r="X46" s="49">
        <v>20</v>
      </c>
      <c r="Y46" s="49">
        <v>0.293</v>
      </c>
    </row>
    <row r="47" s="49" customFormat="1" spans="2:25">
      <c r="B47" s="49" t="s">
        <v>15</v>
      </c>
      <c r="C47" s="49">
        <v>1</v>
      </c>
      <c r="D47" s="49">
        <v>0</v>
      </c>
      <c r="E47" s="49">
        <v>0</v>
      </c>
      <c r="F47" s="49">
        <v>0</v>
      </c>
      <c r="G47" s="49">
        <v>4</v>
      </c>
      <c r="H47" s="49">
        <v>10</v>
      </c>
      <c r="I47" s="49">
        <v>16</v>
      </c>
      <c r="J47" s="49" t="s">
        <v>132</v>
      </c>
      <c r="R47" s="49" t="s">
        <v>15</v>
      </c>
      <c r="S47" s="49">
        <v>1</v>
      </c>
      <c r="T47" s="49">
        <v>0.229</v>
      </c>
      <c r="U47" s="49">
        <v>19</v>
      </c>
      <c r="V47" s="49">
        <v>0.01</v>
      </c>
      <c r="W47" s="49">
        <v>0.867</v>
      </c>
      <c r="X47" s="49">
        <v>19</v>
      </c>
      <c r="Y47" s="50">
        <v>0.013</v>
      </c>
    </row>
    <row r="48" s="49" customFormat="1" spans="2:25">
      <c r="C48" s="49">
        <v>2</v>
      </c>
      <c r="D48" s="49">
        <v>0</v>
      </c>
      <c r="E48" s="49">
        <v>0</v>
      </c>
      <c r="F48" s="49">
        <v>0</v>
      </c>
      <c r="G48" s="49">
        <v>5.5</v>
      </c>
      <c r="H48" s="49">
        <v>10</v>
      </c>
      <c r="I48" s="49">
        <v>26.5</v>
      </c>
      <c r="J48" s="49">
        <v>27.95</v>
      </c>
      <c r="S48" s="49">
        <v>2</v>
      </c>
      <c r="T48" s="49">
        <v>0.197</v>
      </c>
      <c r="U48" s="49">
        <v>20</v>
      </c>
      <c r="V48" s="49">
        <v>0.041</v>
      </c>
      <c r="W48" s="49">
        <v>0.807</v>
      </c>
      <c r="X48" s="49">
        <v>20</v>
      </c>
      <c r="Y48" s="50">
        <v>0.001</v>
      </c>
    </row>
    <row r="49" s="49" customFormat="1" spans="2:25">
      <c r="C49" s="49">
        <v>3</v>
      </c>
      <c r="D49" s="49">
        <v>0</v>
      </c>
      <c r="E49" s="49">
        <v>0</v>
      </c>
      <c r="F49" s="49">
        <v>0.25</v>
      </c>
      <c r="G49" s="49">
        <v>2</v>
      </c>
      <c r="H49" s="49">
        <v>15.75</v>
      </c>
      <c r="I49" s="49">
        <v>21.6</v>
      </c>
      <c r="J49" s="49">
        <v>22</v>
      </c>
      <c r="S49" s="49">
        <v>3</v>
      </c>
      <c r="T49" s="49">
        <v>0.318</v>
      </c>
      <c r="U49" s="49">
        <v>20</v>
      </c>
      <c r="V49" s="49">
        <v>0</v>
      </c>
      <c r="W49" s="49">
        <v>0.745</v>
      </c>
      <c r="X49" s="49">
        <v>20</v>
      </c>
      <c r="Y49" s="50">
        <v>0</v>
      </c>
    </row>
    <row r="50" s="49" customFormat="1" spans="2:25">
      <c r="C50" s="49">
        <v>4</v>
      </c>
      <c r="D50" s="49">
        <v>0</v>
      </c>
      <c r="E50" s="49">
        <v>0.1</v>
      </c>
      <c r="F50" s="49">
        <v>5.5</v>
      </c>
      <c r="G50" s="49">
        <v>15.5</v>
      </c>
      <c r="H50" s="49">
        <v>28.75</v>
      </c>
      <c r="I50" s="49">
        <v>38.7</v>
      </c>
      <c r="J50" s="49">
        <v>52.3</v>
      </c>
      <c r="S50" s="49">
        <v>4</v>
      </c>
      <c r="T50" s="49">
        <v>0.153</v>
      </c>
      <c r="U50" s="49">
        <v>20</v>
      </c>
      <c r="V50" s="50" t="s">
        <v>133</v>
      </c>
      <c r="W50" s="49">
        <v>0.925</v>
      </c>
      <c r="X50" s="49">
        <v>20</v>
      </c>
      <c r="Y50" s="49">
        <v>0.123</v>
      </c>
    </row>
    <row r="51" s="49" customFormat="1" spans="2:25">
      <c r="B51" s="49" t="s">
        <v>16</v>
      </c>
      <c r="C51" s="49">
        <v>1</v>
      </c>
      <c r="D51" s="49">
        <v>0</v>
      </c>
      <c r="E51" s="49">
        <v>20</v>
      </c>
      <c r="F51" s="49">
        <v>30</v>
      </c>
      <c r="G51" s="49">
        <v>40</v>
      </c>
      <c r="H51" s="49">
        <v>50</v>
      </c>
      <c r="I51" s="49">
        <v>60</v>
      </c>
      <c r="J51" s="49" t="s">
        <v>132</v>
      </c>
      <c r="R51" s="49" t="s">
        <v>16</v>
      </c>
      <c r="S51" s="49">
        <v>1</v>
      </c>
      <c r="T51" s="49">
        <v>0.13</v>
      </c>
      <c r="U51" s="49">
        <v>19</v>
      </c>
      <c r="V51" s="50" t="s">
        <v>133</v>
      </c>
      <c r="W51" s="49">
        <v>0.957</v>
      </c>
      <c r="X51" s="49">
        <v>19</v>
      </c>
      <c r="Y51" s="49">
        <v>0.51</v>
      </c>
    </row>
    <row r="52" s="49" customFormat="1" spans="2:25">
      <c r="C52" s="49">
        <v>2</v>
      </c>
      <c r="D52" s="49">
        <v>10.5</v>
      </c>
      <c r="E52" s="49">
        <v>21.5</v>
      </c>
      <c r="F52" s="49">
        <v>45</v>
      </c>
      <c r="G52" s="49">
        <v>45</v>
      </c>
      <c r="H52" s="49">
        <v>50</v>
      </c>
      <c r="I52" s="49">
        <v>55</v>
      </c>
      <c r="J52" s="49">
        <v>55</v>
      </c>
      <c r="S52" s="49">
        <v>2</v>
      </c>
      <c r="T52" s="49">
        <v>0.317</v>
      </c>
      <c r="U52" s="49">
        <v>20</v>
      </c>
      <c r="V52" s="49">
        <v>0</v>
      </c>
      <c r="W52" s="49">
        <v>0.754</v>
      </c>
      <c r="X52" s="49">
        <v>20</v>
      </c>
      <c r="Y52" s="50">
        <v>0</v>
      </c>
    </row>
    <row r="53" s="49" customFormat="1" spans="2:25">
      <c r="C53" s="49">
        <v>3</v>
      </c>
      <c r="D53" s="49">
        <v>20.5</v>
      </c>
      <c r="E53" s="49">
        <v>30</v>
      </c>
      <c r="F53" s="49">
        <v>40</v>
      </c>
      <c r="G53" s="49">
        <v>50</v>
      </c>
      <c r="H53" s="49">
        <v>58.75</v>
      </c>
      <c r="I53" s="49">
        <v>74.5</v>
      </c>
      <c r="J53" s="49">
        <v>79.75</v>
      </c>
      <c r="S53" s="49">
        <v>3</v>
      </c>
      <c r="T53" s="49">
        <v>0.137</v>
      </c>
      <c r="U53" s="49">
        <v>20</v>
      </c>
      <c r="V53" s="50" t="s">
        <v>133</v>
      </c>
      <c r="W53" s="49">
        <v>0.973</v>
      </c>
      <c r="X53" s="49">
        <v>20</v>
      </c>
      <c r="Y53" s="49">
        <v>0.826</v>
      </c>
    </row>
    <row r="54" s="49" customFormat="1" spans="2:25">
      <c r="C54" s="49">
        <v>4</v>
      </c>
      <c r="D54" s="49">
        <v>10</v>
      </c>
      <c r="E54" s="49">
        <v>11</v>
      </c>
      <c r="F54" s="49">
        <v>30</v>
      </c>
      <c r="G54" s="49">
        <v>45</v>
      </c>
      <c r="H54" s="49">
        <v>55</v>
      </c>
      <c r="I54" s="49">
        <v>60</v>
      </c>
      <c r="J54" s="49">
        <v>69.5</v>
      </c>
      <c r="S54" s="49">
        <v>4</v>
      </c>
      <c r="T54" s="49">
        <v>0.16</v>
      </c>
      <c r="U54" s="49">
        <v>20</v>
      </c>
      <c r="V54" s="50">
        <v>0.195</v>
      </c>
      <c r="W54" s="49">
        <v>0.94</v>
      </c>
      <c r="X54" s="49">
        <v>20</v>
      </c>
      <c r="Y54" s="49">
        <v>0.244</v>
      </c>
    </row>
    <row r="55" s="49" customFormat="1" spans="2:25">
      <c r="B55" s="49" t="s">
        <v>17</v>
      </c>
      <c r="C55" s="49">
        <v>1</v>
      </c>
      <c r="D55" s="49">
        <v>30</v>
      </c>
      <c r="E55" s="49">
        <v>40</v>
      </c>
      <c r="F55" s="49">
        <v>45</v>
      </c>
      <c r="G55" s="49">
        <v>55</v>
      </c>
      <c r="H55" s="49">
        <v>70</v>
      </c>
      <c r="I55" s="49">
        <v>80</v>
      </c>
      <c r="J55" s="49" t="s">
        <v>132</v>
      </c>
      <c r="R55" s="49" t="s">
        <v>17</v>
      </c>
      <c r="S55" s="49">
        <v>1</v>
      </c>
      <c r="T55" s="49">
        <v>0.195</v>
      </c>
      <c r="U55" s="49">
        <v>19</v>
      </c>
      <c r="V55" s="50">
        <v>0.057</v>
      </c>
      <c r="W55" s="49">
        <v>0.957</v>
      </c>
      <c r="X55" s="49">
        <v>19</v>
      </c>
      <c r="Y55" s="49">
        <v>0.512</v>
      </c>
    </row>
    <row r="56" s="49" customFormat="1" spans="2:25">
      <c r="C56" s="49">
        <v>2</v>
      </c>
      <c r="D56" s="49">
        <v>15.75</v>
      </c>
      <c r="E56" s="49">
        <v>31</v>
      </c>
      <c r="F56" s="49">
        <v>51.25</v>
      </c>
      <c r="G56" s="49">
        <v>55</v>
      </c>
      <c r="H56" s="49">
        <v>65</v>
      </c>
      <c r="I56" s="49">
        <v>75</v>
      </c>
      <c r="J56" s="49">
        <v>98.75</v>
      </c>
      <c r="S56" s="49">
        <v>2</v>
      </c>
      <c r="T56" s="49">
        <v>0.216</v>
      </c>
      <c r="U56" s="49">
        <v>20</v>
      </c>
      <c r="V56" s="49">
        <v>0.015</v>
      </c>
      <c r="W56" s="49">
        <v>0.936</v>
      </c>
      <c r="X56" s="49">
        <v>20</v>
      </c>
      <c r="Y56" s="49">
        <v>0.197</v>
      </c>
    </row>
    <row r="57" s="49" customFormat="1" ht="15" customHeight="1" spans="2:25">
      <c r="C57" s="49">
        <v>3</v>
      </c>
      <c r="D57" s="49">
        <v>40.25</v>
      </c>
      <c r="E57" s="49">
        <v>45</v>
      </c>
      <c r="F57" s="49">
        <v>55</v>
      </c>
      <c r="G57" s="49">
        <v>60</v>
      </c>
      <c r="H57" s="49">
        <v>75</v>
      </c>
      <c r="I57" s="49">
        <v>89.5</v>
      </c>
      <c r="J57" s="49">
        <v>90</v>
      </c>
      <c r="S57" s="49">
        <v>3</v>
      </c>
      <c r="T57" s="49">
        <v>0.171</v>
      </c>
      <c r="U57" s="49">
        <v>20</v>
      </c>
      <c r="V57" s="50">
        <v>0.127</v>
      </c>
      <c r="W57" s="49">
        <v>0.953</v>
      </c>
      <c r="X57" s="49">
        <v>20</v>
      </c>
      <c r="Y57" s="49">
        <v>0.407</v>
      </c>
    </row>
    <row r="58" s="49" customFormat="1" spans="2:25">
      <c r="C58" s="49">
        <v>4</v>
      </c>
      <c r="D58" s="49">
        <v>11.75</v>
      </c>
      <c r="E58" s="49">
        <v>45</v>
      </c>
      <c r="F58" s="49">
        <v>56.25</v>
      </c>
      <c r="G58" s="49">
        <v>65</v>
      </c>
      <c r="H58" s="49">
        <v>73.75</v>
      </c>
      <c r="I58" s="49">
        <v>93</v>
      </c>
      <c r="J58" s="49">
        <v>99.75</v>
      </c>
      <c r="S58" s="49">
        <v>4</v>
      </c>
      <c r="T58" s="49">
        <v>0.181</v>
      </c>
      <c r="U58" s="49">
        <v>20</v>
      </c>
      <c r="V58" s="50">
        <v>0.085</v>
      </c>
      <c r="W58" s="49">
        <v>0.91</v>
      </c>
      <c r="X58" s="49">
        <v>20</v>
      </c>
      <c r="Y58" s="49">
        <v>0.063</v>
      </c>
    </row>
    <row r="59" s="49" customFormat="1" spans="2:25">
      <c r="B59" s="49" t="s">
        <v>18</v>
      </c>
      <c r="C59" s="49">
        <v>1</v>
      </c>
      <c r="D59" s="49">
        <v>0</v>
      </c>
      <c r="E59" s="49">
        <v>5</v>
      </c>
      <c r="F59" s="49">
        <v>10</v>
      </c>
      <c r="G59" s="49">
        <v>15</v>
      </c>
      <c r="H59" s="49">
        <v>25</v>
      </c>
      <c r="I59" s="49">
        <v>40</v>
      </c>
      <c r="J59" s="49" t="s">
        <v>132</v>
      </c>
      <c r="R59" s="49" t="s">
        <v>18</v>
      </c>
      <c r="S59" s="49">
        <v>1</v>
      </c>
      <c r="T59" s="49">
        <v>0.139</v>
      </c>
      <c r="U59" s="49">
        <v>19</v>
      </c>
      <c r="V59" s="50" t="s">
        <v>133</v>
      </c>
      <c r="W59" s="49">
        <v>0.943</v>
      </c>
      <c r="X59" s="49">
        <v>19</v>
      </c>
      <c r="Y59" s="49">
        <v>0.302</v>
      </c>
    </row>
    <row r="60" s="49" customFormat="1" spans="2:25">
      <c r="C60" s="49">
        <v>2</v>
      </c>
      <c r="D60" s="49">
        <v>0.25</v>
      </c>
      <c r="E60" s="49">
        <v>5</v>
      </c>
      <c r="F60" s="49">
        <v>5</v>
      </c>
      <c r="G60" s="49">
        <v>10</v>
      </c>
      <c r="H60" s="49">
        <v>13.75</v>
      </c>
      <c r="I60" s="49">
        <v>24.5</v>
      </c>
      <c r="J60" s="49">
        <v>53.5</v>
      </c>
      <c r="S60" s="49">
        <v>2</v>
      </c>
      <c r="T60" s="49">
        <v>0.317</v>
      </c>
      <c r="U60" s="49">
        <v>20</v>
      </c>
      <c r="V60" s="49">
        <v>0</v>
      </c>
      <c r="W60" s="49">
        <v>0.681</v>
      </c>
      <c r="X60" s="49">
        <v>20</v>
      </c>
      <c r="Y60" s="50">
        <v>0</v>
      </c>
    </row>
    <row r="61" s="49" customFormat="1" spans="2:25">
      <c r="C61" s="49">
        <v>3</v>
      </c>
      <c r="D61" s="49">
        <v>0.25</v>
      </c>
      <c r="E61" s="49">
        <v>5</v>
      </c>
      <c r="F61" s="49">
        <v>5</v>
      </c>
      <c r="G61" s="49">
        <v>15</v>
      </c>
      <c r="H61" s="49">
        <v>20</v>
      </c>
      <c r="I61" s="49">
        <v>34</v>
      </c>
      <c r="J61" s="49">
        <v>39.75</v>
      </c>
      <c r="S61" s="49">
        <v>3</v>
      </c>
      <c r="T61" s="49">
        <v>0.163</v>
      </c>
      <c r="U61" s="49">
        <v>20</v>
      </c>
      <c r="V61" s="50">
        <v>0.171</v>
      </c>
      <c r="W61" s="49">
        <v>0.913</v>
      </c>
      <c r="X61" s="49">
        <v>20</v>
      </c>
      <c r="Y61" s="49">
        <v>0.072</v>
      </c>
    </row>
    <row r="62" s="49" customFormat="1" spans="2:25">
      <c r="C62" s="49">
        <v>4</v>
      </c>
      <c r="D62" s="49">
        <v>0</v>
      </c>
      <c r="E62" s="49">
        <v>0.5</v>
      </c>
      <c r="F62" s="49">
        <v>15</v>
      </c>
      <c r="G62" s="49">
        <v>15</v>
      </c>
      <c r="H62" s="49">
        <v>23.75</v>
      </c>
      <c r="I62" s="49">
        <v>43</v>
      </c>
      <c r="J62" s="49">
        <v>87.75</v>
      </c>
      <c r="S62" s="49">
        <v>4</v>
      </c>
      <c r="T62" s="49">
        <v>0.311</v>
      </c>
      <c r="U62" s="49">
        <v>20</v>
      </c>
      <c r="V62" s="49">
        <v>0</v>
      </c>
      <c r="W62" s="49">
        <v>0.673</v>
      </c>
      <c r="X62" s="49">
        <v>20</v>
      </c>
      <c r="Y62" s="50">
        <v>0</v>
      </c>
    </row>
    <row r="63" spans="2:25">
      <c r="R63" t="s">
        <v>136</v>
      </c>
    </row>
    <row r="64" spans="2:25">
      <c r="R64" t="s">
        <v>137</v>
      </c>
    </row>
    <row r="66" spans="2:15">
      <c r="C66" t="s">
        <v>106</v>
      </c>
      <c r="D66" t="s">
        <v>107</v>
      </c>
      <c r="E66" t="s">
        <v>138</v>
      </c>
      <c r="F66" t="s">
        <v>139</v>
      </c>
    </row>
    <row r="67" spans="2:15">
      <c r="B67" t="s">
        <v>9</v>
      </c>
      <c r="C67" t="s">
        <v>118</v>
      </c>
      <c r="D67" t="s">
        <v>118</v>
      </c>
      <c r="E67">
        <v>10.25</v>
      </c>
      <c r="F67">
        <v>8.777</v>
      </c>
      <c r="H67" t="s">
        <v>140</v>
      </c>
      <c r="I67" t="s">
        <v>141</v>
      </c>
      <c r="J67" t="s">
        <v>142</v>
      </c>
      <c r="K67" t="s">
        <v>129</v>
      </c>
      <c r="L67" t="s">
        <v>143</v>
      </c>
      <c r="M67" t="s">
        <v>144</v>
      </c>
      <c r="N67" t="s">
        <v>130</v>
      </c>
      <c r="O67" t="s">
        <v>145</v>
      </c>
    </row>
    <row r="68" spans="2:15">
      <c r="D68" t="s">
        <v>119</v>
      </c>
      <c r="E68">
        <v>6.8</v>
      </c>
      <c r="F68">
        <v>7.15</v>
      </c>
      <c r="H68" t="s">
        <v>146</v>
      </c>
    </row>
    <row r="69" spans="2:15">
      <c r="D69" t="s">
        <v>147</v>
      </c>
      <c r="E69">
        <v>8.52</v>
      </c>
      <c r="F69">
        <v>8.092</v>
      </c>
      <c r="H69" t="s">
        <v>106</v>
      </c>
      <c r="I69" t="s">
        <v>9</v>
      </c>
      <c r="J69">
        <v>132.613</v>
      </c>
      <c r="K69">
        <v>1</v>
      </c>
      <c r="L69">
        <v>132.613</v>
      </c>
      <c r="M69">
        <v>2.088</v>
      </c>
      <c r="N69">
        <v>0.153</v>
      </c>
      <c r="O69">
        <v>0.027</v>
      </c>
    </row>
    <row r="70" spans="2:15">
      <c r="C70" t="s">
        <v>119</v>
      </c>
      <c r="D70" t="s">
        <v>118</v>
      </c>
      <c r="E70">
        <v>5.7</v>
      </c>
      <c r="F70">
        <v>7.726</v>
      </c>
      <c r="I70" t="s">
        <v>12</v>
      </c>
      <c r="J70">
        <v>252.05</v>
      </c>
      <c r="K70">
        <v>1</v>
      </c>
      <c r="L70">
        <v>252.05</v>
      </c>
      <c r="M70" s="48">
        <v>6.095</v>
      </c>
      <c r="N70" s="48">
        <v>0.016</v>
      </c>
      <c r="O70">
        <v>0.074</v>
      </c>
    </row>
    <row r="71" spans="2:15">
      <c r="D71" t="s">
        <v>119</v>
      </c>
      <c r="E71">
        <v>6.2</v>
      </c>
      <c r="F71">
        <v>8.134</v>
      </c>
      <c r="I71" t="s">
        <v>15</v>
      </c>
      <c r="J71">
        <v>572.45</v>
      </c>
      <c r="K71">
        <v>1</v>
      </c>
      <c r="L71">
        <v>572.45</v>
      </c>
      <c r="M71" s="48">
        <v>5.624</v>
      </c>
      <c r="N71" s="48">
        <v>0.02</v>
      </c>
      <c r="O71">
        <v>0.069</v>
      </c>
    </row>
    <row r="72" spans="2:15">
      <c r="D72" t="s">
        <v>147</v>
      </c>
      <c r="E72">
        <v>5.95</v>
      </c>
      <c r="F72">
        <v>7.835</v>
      </c>
      <c r="I72" t="s">
        <v>18</v>
      </c>
      <c r="J72">
        <v>165.313</v>
      </c>
      <c r="K72">
        <v>1</v>
      </c>
      <c r="L72">
        <v>165.313</v>
      </c>
      <c r="M72">
        <v>0.857</v>
      </c>
      <c r="N72">
        <v>0.357</v>
      </c>
      <c r="O72">
        <v>0.011</v>
      </c>
    </row>
    <row r="73" spans="2:15">
      <c r="C73" t="s">
        <v>147</v>
      </c>
      <c r="D73" t="s">
        <v>118</v>
      </c>
      <c r="E73" s="51">
        <v>7.98</v>
      </c>
      <c r="F73">
        <v>8.481</v>
      </c>
      <c r="H73" t="s">
        <v>107</v>
      </c>
      <c r="I73" t="s">
        <v>9</v>
      </c>
      <c r="J73">
        <v>43.513</v>
      </c>
      <c r="K73">
        <v>1</v>
      </c>
      <c r="L73">
        <v>43.513</v>
      </c>
      <c r="M73">
        <v>0.685</v>
      </c>
      <c r="N73">
        <v>0.41</v>
      </c>
      <c r="O73">
        <v>0.009</v>
      </c>
    </row>
    <row r="74" spans="2:15">
      <c r="D74" t="s">
        <v>119</v>
      </c>
      <c r="E74">
        <v>6.5</v>
      </c>
      <c r="F74">
        <v>7.565</v>
      </c>
      <c r="I74" t="s">
        <v>12</v>
      </c>
      <c r="J74">
        <v>186.05</v>
      </c>
      <c r="K74">
        <v>1</v>
      </c>
      <c r="L74">
        <v>186.05</v>
      </c>
      <c r="M74" s="48">
        <v>4.499</v>
      </c>
      <c r="N74" s="48">
        <v>0.037</v>
      </c>
      <c r="O74">
        <v>0.056</v>
      </c>
    </row>
    <row r="75" spans="2:15">
      <c r="C75" s="51"/>
      <c r="D75" t="s">
        <v>147</v>
      </c>
      <c r="E75">
        <v>7.24</v>
      </c>
      <c r="F75">
        <v>8.019</v>
      </c>
      <c r="I75" t="s">
        <v>15</v>
      </c>
      <c r="J75">
        <v>806.45</v>
      </c>
      <c r="K75">
        <v>1</v>
      </c>
      <c r="L75">
        <v>806.45</v>
      </c>
      <c r="M75" s="48">
        <v>7.922</v>
      </c>
      <c r="N75" s="48">
        <v>0.006</v>
      </c>
      <c r="O75">
        <v>0.094</v>
      </c>
    </row>
    <row r="76" spans="2:15">
      <c r="B76" t="s">
        <v>12</v>
      </c>
      <c r="C76" s="51" t="s">
        <v>118</v>
      </c>
      <c r="D76" t="s">
        <v>118</v>
      </c>
      <c r="E76">
        <v>11.25</v>
      </c>
      <c r="F76">
        <v>8.843</v>
      </c>
      <c r="I76" t="s">
        <v>18</v>
      </c>
      <c r="J76">
        <v>0.313</v>
      </c>
      <c r="K76">
        <v>1</v>
      </c>
      <c r="L76">
        <v>0.313</v>
      </c>
      <c r="M76">
        <v>0.002</v>
      </c>
      <c r="N76">
        <v>0.968</v>
      </c>
      <c r="O76">
        <v>0</v>
      </c>
    </row>
    <row r="77" spans="2:15">
      <c r="D77" t="s">
        <v>119</v>
      </c>
      <c r="E77">
        <v>4.1</v>
      </c>
      <c r="F77">
        <v>4.778</v>
      </c>
      <c r="H77" t="s">
        <v>148</v>
      </c>
      <c r="I77" t="s">
        <v>9</v>
      </c>
      <c r="J77">
        <v>78.013</v>
      </c>
      <c r="K77">
        <v>1</v>
      </c>
      <c r="L77">
        <v>78.013</v>
      </c>
      <c r="M77">
        <v>1.228</v>
      </c>
      <c r="N77">
        <v>0.271</v>
      </c>
      <c r="O77">
        <v>0.016</v>
      </c>
    </row>
    <row r="78" spans="2:15">
      <c r="D78" t="s">
        <v>147</v>
      </c>
      <c r="E78">
        <v>7.68</v>
      </c>
      <c r="F78">
        <v>7.895</v>
      </c>
      <c r="I78" t="s">
        <v>12</v>
      </c>
      <c r="J78">
        <v>336.2</v>
      </c>
      <c r="K78">
        <v>1</v>
      </c>
      <c r="L78">
        <v>336.2</v>
      </c>
      <c r="M78" s="48">
        <v>8.13</v>
      </c>
      <c r="N78" s="48">
        <v>0.006</v>
      </c>
      <c r="O78">
        <v>0.097</v>
      </c>
    </row>
    <row r="79" spans="2:15">
      <c r="C79" t="s">
        <v>119</v>
      </c>
      <c r="D79" t="s">
        <v>118</v>
      </c>
      <c r="E79">
        <v>3.6</v>
      </c>
      <c r="F79">
        <v>5.355</v>
      </c>
      <c r="I79" t="s">
        <v>15</v>
      </c>
      <c r="J79">
        <v>500</v>
      </c>
      <c r="K79">
        <v>1</v>
      </c>
      <c r="L79">
        <v>500</v>
      </c>
      <c r="M79" s="48">
        <v>4.912</v>
      </c>
      <c r="N79" s="48">
        <v>0.03</v>
      </c>
      <c r="O79">
        <v>0.061</v>
      </c>
    </row>
    <row r="80" spans="2:15">
      <c r="D80" t="s">
        <v>119</v>
      </c>
      <c r="E80">
        <v>4.65</v>
      </c>
      <c r="F80">
        <v>5.976</v>
      </c>
      <c r="I80" t="s">
        <v>18</v>
      </c>
      <c r="J80">
        <v>690.313</v>
      </c>
      <c r="K80">
        <v>1</v>
      </c>
      <c r="L80">
        <v>690.313</v>
      </c>
      <c r="M80">
        <v>3.58</v>
      </c>
      <c r="N80">
        <v>0.062</v>
      </c>
      <c r="O80">
        <v>0.045</v>
      </c>
    </row>
    <row r="81" spans="2:6">
      <c r="D81" t="s">
        <v>147</v>
      </c>
      <c r="E81">
        <v>4.12</v>
      </c>
      <c r="F81">
        <v>5.626</v>
      </c>
    </row>
    <row r="82" spans="2:6">
      <c r="C82" t="s">
        <v>147</v>
      </c>
      <c r="D82" t="s">
        <v>118</v>
      </c>
      <c r="E82">
        <v>7.42</v>
      </c>
      <c r="F82">
        <v>8.19</v>
      </c>
    </row>
    <row r="83" spans="2:6">
      <c r="D83" t="s">
        <v>119</v>
      </c>
      <c r="E83">
        <v>4.38</v>
      </c>
      <c r="F83">
        <v>5.348</v>
      </c>
    </row>
    <row r="84" spans="2:6">
      <c r="D84" t="s">
        <v>147</v>
      </c>
      <c r="E84">
        <v>5.9</v>
      </c>
      <c r="F84">
        <v>7.042</v>
      </c>
    </row>
    <row r="85" spans="2:6">
      <c r="B85" t="s">
        <v>15</v>
      </c>
      <c r="C85" t="s">
        <v>118</v>
      </c>
      <c r="D85" t="s">
        <v>118</v>
      </c>
      <c r="E85">
        <v>17.95</v>
      </c>
      <c r="F85">
        <v>14.638</v>
      </c>
    </row>
    <row r="86" spans="2:6">
      <c r="D86" t="s">
        <v>119</v>
      </c>
      <c r="E86">
        <v>6.6</v>
      </c>
      <c r="F86">
        <v>8.281</v>
      </c>
    </row>
    <row r="87" spans="2:6">
      <c r="D87" t="s">
        <v>147</v>
      </c>
      <c r="E87">
        <v>12.28</v>
      </c>
      <c r="F87">
        <v>13.07</v>
      </c>
    </row>
    <row r="88" spans="2:6">
      <c r="C88" t="s">
        <v>119</v>
      </c>
      <c r="D88" t="s">
        <v>118</v>
      </c>
      <c r="E88">
        <v>7.6</v>
      </c>
      <c r="F88">
        <v>8.917</v>
      </c>
    </row>
    <row r="89" spans="2:6">
      <c r="D89" t="s">
        <v>119</v>
      </c>
      <c r="E89">
        <v>6.25</v>
      </c>
      <c r="F89">
        <v>6.695</v>
      </c>
    </row>
    <row r="90" spans="2:6">
      <c r="D90" t="s">
        <v>147</v>
      </c>
      <c r="E90">
        <v>6.93</v>
      </c>
      <c r="F90">
        <v>7.813</v>
      </c>
    </row>
    <row r="91" spans="2:6">
      <c r="C91" t="s">
        <v>147</v>
      </c>
      <c r="D91" t="s">
        <v>118</v>
      </c>
      <c r="E91">
        <v>12.78</v>
      </c>
      <c r="F91">
        <v>13.061</v>
      </c>
    </row>
    <row r="92" spans="2:6">
      <c r="D92" t="s">
        <v>119</v>
      </c>
      <c r="E92">
        <v>6.42</v>
      </c>
      <c r="F92">
        <v>7.435</v>
      </c>
    </row>
    <row r="93" spans="2:6">
      <c r="D93" t="s">
        <v>147</v>
      </c>
      <c r="E93">
        <v>9.6</v>
      </c>
      <c r="F93">
        <v>11.032</v>
      </c>
    </row>
    <row r="94" spans="2:6">
      <c r="B94" t="s">
        <v>18</v>
      </c>
      <c r="C94" t="s">
        <v>118</v>
      </c>
      <c r="D94" t="s">
        <v>118</v>
      </c>
      <c r="E94">
        <v>20.75</v>
      </c>
      <c r="F94">
        <v>18.937</v>
      </c>
    </row>
    <row r="95" spans="2:6">
      <c r="D95" t="s">
        <v>119</v>
      </c>
      <c r="E95">
        <v>15</v>
      </c>
      <c r="F95">
        <v>10.26</v>
      </c>
    </row>
    <row r="96" spans="2:6">
      <c r="D96" t="s">
        <v>147</v>
      </c>
      <c r="E96">
        <v>17.88</v>
      </c>
      <c r="F96">
        <v>15.312</v>
      </c>
    </row>
    <row r="97" spans="1:13">
      <c r="C97" t="s">
        <v>119</v>
      </c>
      <c r="D97" t="s">
        <v>118</v>
      </c>
      <c r="E97">
        <v>12</v>
      </c>
      <c r="F97">
        <v>11.854</v>
      </c>
    </row>
    <row r="98" spans="1:13">
      <c r="D98" t="s">
        <v>119</v>
      </c>
      <c r="E98">
        <v>18</v>
      </c>
      <c r="F98">
        <v>12.917</v>
      </c>
    </row>
    <row r="99" spans="1:13">
      <c r="D99" t="s">
        <v>147</v>
      </c>
      <c r="E99">
        <v>15</v>
      </c>
      <c r="F99">
        <v>12.609</v>
      </c>
    </row>
    <row r="100" spans="1:13">
      <c r="C100" t="s">
        <v>147</v>
      </c>
      <c r="D100" t="s">
        <v>118</v>
      </c>
      <c r="E100">
        <v>16.37</v>
      </c>
      <c r="F100">
        <v>16.211</v>
      </c>
    </row>
    <row r="101" spans="1:13">
      <c r="D101" t="s">
        <v>119</v>
      </c>
      <c r="E101">
        <v>16.5</v>
      </c>
      <c r="F101">
        <v>11.613</v>
      </c>
    </row>
    <row r="102" spans="1:13">
      <c r="D102" t="s">
        <v>149</v>
      </c>
      <c r="E102" t="s">
        <v>138</v>
      </c>
      <c r="F102" t="s">
        <v>150</v>
      </c>
      <c r="G102" t="s">
        <v>151</v>
      </c>
      <c r="H102" t="s">
        <v>152</v>
      </c>
      <c r="J102" t="s">
        <v>153</v>
      </c>
      <c r="K102" t="s">
        <v>154</v>
      </c>
    </row>
    <row r="103" spans="1:13">
      <c r="H103" t="s">
        <v>155</v>
      </c>
      <c r="I103" t="s">
        <v>156</v>
      </c>
    </row>
    <row r="105" spans="1:13">
      <c r="A105" t="s">
        <v>2</v>
      </c>
      <c r="B105">
        <v>1</v>
      </c>
      <c r="D105">
        <v>20</v>
      </c>
      <c r="E105">
        <v>59.4</v>
      </c>
      <c r="F105">
        <v>10.649</v>
      </c>
      <c r="G105">
        <v>2.381</v>
      </c>
      <c r="H105">
        <v>54.42</v>
      </c>
      <c r="I105">
        <v>64.38</v>
      </c>
      <c r="M105" t="str">
        <f>CONCATENATE(TEXT(E105,"0.00"),"±",TEXT(F105,"0.00"),)</f>
        <v>59.40±10.65</v>
      </c>
    </row>
    <row r="106" spans="1:13">
      <c r="B106">
        <v>2</v>
      </c>
      <c r="D106">
        <v>20</v>
      </c>
      <c r="E106" s="48">
        <v>64.45</v>
      </c>
      <c r="F106" s="48">
        <v>9.934</v>
      </c>
      <c r="G106">
        <v>2.221</v>
      </c>
      <c r="H106">
        <v>59.8</v>
      </c>
      <c r="I106">
        <v>69.1</v>
      </c>
      <c r="J106">
        <v>30</v>
      </c>
      <c r="K106">
        <v>72</v>
      </c>
      <c r="M106" t="str">
        <f>CONCATENATE(TEXT(E106,"0.00"),"±",TEXT(F106,"0.00"),)</f>
        <v>64.45±9.93</v>
      </c>
    </row>
    <row r="107" spans="1:13">
      <c r="B107">
        <v>3</v>
      </c>
      <c r="D107">
        <v>20</v>
      </c>
      <c r="E107">
        <v>64.45</v>
      </c>
      <c r="F107">
        <v>12.935</v>
      </c>
      <c r="G107">
        <v>2.892</v>
      </c>
      <c r="H107">
        <v>58.4</v>
      </c>
      <c r="I107">
        <v>70.5</v>
      </c>
      <c r="J107">
        <v>42</v>
      </c>
      <c r="K107">
        <v>76</v>
      </c>
      <c r="M107" t="str">
        <f>CONCATENATE(TEXT(E107,"0.00"),"±",TEXT(F107,"0.00"),)</f>
        <v>64.45±12.94</v>
      </c>
    </row>
    <row r="108" spans="1:13">
      <c r="B108">
        <v>4</v>
      </c>
      <c r="D108">
        <v>20</v>
      </c>
      <c r="E108">
        <v>62.35</v>
      </c>
      <c r="F108">
        <v>12.688</v>
      </c>
      <c r="G108">
        <v>2.837</v>
      </c>
      <c r="H108">
        <v>56.41</v>
      </c>
      <c r="I108">
        <v>68.29</v>
      </c>
      <c r="J108">
        <v>33</v>
      </c>
      <c r="K108">
        <v>78</v>
      </c>
      <c r="M108" t="str">
        <f>CONCATENATE(TEXT(E108,"0.00"),"±",TEXT(F108,"0.00"),)</f>
        <v>62.35±12.69</v>
      </c>
    </row>
    <row r="109" spans="1:13">
      <c r="B109" t="s">
        <v>147</v>
      </c>
      <c r="D109">
        <v>80</v>
      </c>
      <c r="E109">
        <v>62.66</v>
      </c>
      <c r="F109">
        <v>11.589</v>
      </c>
      <c r="G109">
        <v>1.296</v>
      </c>
      <c r="H109">
        <v>60.08</v>
      </c>
      <c r="I109">
        <v>65.24</v>
      </c>
      <c r="J109">
        <v>37</v>
      </c>
      <c r="K109">
        <v>77</v>
      </c>
    </row>
    <row r="110" spans="1:13">
      <c r="B110" t="s">
        <v>157</v>
      </c>
      <c r="C110" t="s">
        <v>158</v>
      </c>
      <c r="F110">
        <v>11.623</v>
      </c>
      <c r="G110">
        <v>1.299</v>
      </c>
      <c r="H110">
        <v>60.07</v>
      </c>
      <c r="I110">
        <v>65.25</v>
      </c>
      <c r="J110">
        <v>30</v>
      </c>
      <c r="K110">
        <v>78</v>
      </c>
    </row>
    <row r="111" spans="1:13">
      <c r="C111" t="s">
        <v>159</v>
      </c>
      <c r="G111">
        <v>1.299</v>
      </c>
      <c r="H111">
        <v>58.53</v>
      </c>
      <c r="I111">
        <v>66.8</v>
      </c>
      <c r="L111">
        <v>-1.044</v>
      </c>
    </row>
    <row r="112" spans="1:13">
      <c r="A112" t="s">
        <v>3</v>
      </c>
      <c r="B112">
        <v>1</v>
      </c>
      <c r="D112">
        <v>20</v>
      </c>
      <c r="E112">
        <v>34.1</v>
      </c>
      <c r="F112">
        <v>25.907</v>
      </c>
      <c r="G112">
        <v>5.793</v>
      </c>
      <c r="H112">
        <v>21.98</v>
      </c>
      <c r="I112">
        <v>46.22</v>
      </c>
      <c r="M112" t="str">
        <f>CONCATENATE(TEXT(E112,"0.00"),"±",TEXT(F112,"0.00"),)</f>
        <v>34.10±25.91</v>
      </c>
    </row>
    <row r="113" spans="1:16">
      <c r="B113">
        <v>2</v>
      </c>
      <c r="D113">
        <v>20</v>
      </c>
      <c r="E113">
        <v>44.55</v>
      </c>
      <c r="F113">
        <v>41.901</v>
      </c>
      <c r="G113">
        <v>9.369</v>
      </c>
      <c r="H113">
        <v>24.94</v>
      </c>
      <c r="I113">
        <v>64.16</v>
      </c>
      <c r="J113">
        <v>7</v>
      </c>
      <c r="K113">
        <v>82</v>
      </c>
      <c r="M113" t="str">
        <f>CONCATENATE(TEXT(E113,"0.00"),"±",TEXT(F113,"0.00"),)</f>
        <v>44.55±41.90</v>
      </c>
    </row>
    <row r="114" spans="1:16">
      <c r="B114">
        <v>3</v>
      </c>
      <c r="D114">
        <v>20</v>
      </c>
      <c r="E114">
        <v>35.55</v>
      </c>
      <c r="F114">
        <v>30.268</v>
      </c>
      <c r="G114">
        <v>6.768</v>
      </c>
      <c r="H114">
        <v>21.38</v>
      </c>
      <c r="I114">
        <v>49.72</v>
      </c>
      <c r="J114">
        <v>7</v>
      </c>
      <c r="K114">
        <v>149</v>
      </c>
      <c r="M114" t="str">
        <f>CONCATENATE(TEXT(E114,"0.00"),"±",TEXT(F114,"0.00"),)</f>
        <v>35.55±30.27</v>
      </c>
    </row>
    <row r="115" spans="1:16">
      <c r="B115">
        <v>4</v>
      </c>
      <c r="D115">
        <v>20</v>
      </c>
      <c r="E115">
        <v>33.5</v>
      </c>
      <c r="F115">
        <v>35.423</v>
      </c>
      <c r="G115">
        <v>7.921</v>
      </c>
      <c r="H115">
        <v>16.92</v>
      </c>
      <c r="I115">
        <v>50.08</v>
      </c>
      <c r="J115">
        <v>8</v>
      </c>
      <c r="K115">
        <v>118</v>
      </c>
      <c r="M115" t="str">
        <f>CONCATENATE(TEXT(E115,"0.00"),"±",TEXT(F115,"0.00"),)</f>
        <v>33.50±35.42</v>
      </c>
    </row>
    <row r="116" spans="1:16">
      <c r="B116" t="s">
        <v>147</v>
      </c>
      <c r="D116">
        <v>80</v>
      </c>
      <c r="E116">
        <v>36.92</v>
      </c>
      <c r="F116">
        <v>33.556</v>
      </c>
      <c r="G116">
        <v>3.752</v>
      </c>
      <c r="H116">
        <v>29.46</v>
      </c>
      <c r="I116">
        <v>44.39</v>
      </c>
      <c r="J116">
        <v>7</v>
      </c>
      <c r="K116">
        <v>132</v>
      </c>
    </row>
    <row r="117" spans="1:16">
      <c r="B117" t="s">
        <v>157</v>
      </c>
      <c r="C117" t="s">
        <v>158</v>
      </c>
      <c r="F117">
        <v>33.904</v>
      </c>
      <c r="G117">
        <v>3.791</v>
      </c>
      <c r="H117">
        <v>29.38</v>
      </c>
      <c r="I117">
        <v>44.47</v>
      </c>
      <c r="J117">
        <v>7</v>
      </c>
      <c r="K117">
        <v>149</v>
      </c>
    </row>
    <row r="118" spans="1:16">
      <c r="C118" t="s">
        <v>159</v>
      </c>
      <c r="G118">
        <v>3.791</v>
      </c>
      <c r="H118">
        <v>24.86</v>
      </c>
      <c r="I118">
        <v>48.99</v>
      </c>
      <c r="L118">
        <v>-30.892</v>
      </c>
    </row>
    <row r="119" spans="1:16">
      <c r="A119" t="s">
        <v>6</v>
      </c>
      <c r="B119">
        <v>1</v>
      </c>
      <c r="D119">
        <v>20</v>
      </c>
      <c r="E119">
        <v>25.7</v>
      </c>
      <c r="F119">
        <v>4.156</v>
      </c>
      <c r="G119">
        <v>0.929</v>
      </c>
      <c r="H119">
        <v>23.75</v>
      </c>
      <c r="I119">
        <v>27.65</v>
      </c>
      <c r="M119" t="str">
        <f>CONCATENATE(TEXT(E119,"0.00"),"±",TEXT(F119,"0.00"),)</f>
        <v>25.70±4.16</v>
      </c>
    </row>
    <row r="120" spans="1:16">
      <c r="B120">
        <v>2</v>
      </c>
      <c r="D120">
        <v>20</v>
      </c>
      <c r="E120">
        <v>25.4</v>
      </c>
      <c r="F120">
        <v>3.53</v>
      </c>
      <c r="G120">
        <v>0.789</v>
      </c>
      <c r="H120">
        <v>23.75</v>
      </c>
      <c r="I120">
        <v>27.05</v>
      </c>
      <c r="J120">
        <v>20</v>
      </c>
      <c r="K120">
        <v>30</v>
      </c>
      <c r="M120" t="str">
        <f>CONCATENATE(TEXT(E120,"0.00"),"±",TEXT(F120,"0.00"),)</f>
        <v>25.40±3.53</v>
      </c>
    </row>
    <row r="121" spans="1:16">
      <c r="B121">
        <v>3</v>
      </c>
      <c r="D121">
        <v>20</v>
      </c>
      <c r="E121">
        <v>24.6</v>
      </c>
      <c r="F121">
        <v>4.044</v>
      </c>
      <c r="G121">
        <v>0.904</v>
      </c>
      <c r="H121">
        <v>22.71</v>
      </c>
      <c r="I121">
        <v>26.49</v>
      </c>
      <c r="J121">
        <v>20</v>
      </c>
      <c r="K121">
        <v>30</v>
      </c>
      <c r="M121" t="str">
        <f>CONCATENATE(TEXT(E121,"0.00"),"±",TEXT(F121,"0.00"),)</f>
        <v>24.60±4.04</v>
      </c>
    </row>
    <row r="122" spans="1:16">
      <c r="B122">
        <v>4</v>
      </c>
      <c r="D122">
        <v>20</v>
      </c>
      <c r="E122">
        <v>25.15</v>
      </c>
      <c r="F122">
        <v>4.545</v>
      </c>
      <c r="G122">
        <v>1.016</v>
      </c>
      <c r="H122">
        <v>23.02</v>
      </c>
      <c r="I122">
        <v>27.28</v>
      </c>
      <c r="J122">
        <v>14</v>
      </c>
      <c r="K122">
        <v>29</v>
      </c>
      <c r="M122" t="str">
        <f>CONCATENATE(TEXT(E122,"0.00"),"±",TEXT(F122,"0.00"),)</f>
        <v>25.15±4.55</v>
      </c>
    </row>
    <row r="123" spans="1:16">
      <c r="B123" t="s">
        <v>147</v>
      </c>
      <c r="D123">
        <v>80</v>
      </c>
      <c r="E123">
        <v>25.21</v>
      </c>
      <c r="F123">
        <v>4.027</v>
      </c>
      <c r="G123">
        <v>0.45</v>
      </c>
      <c r="H123">
        <v>24.32</v>
      </c>
      <c r="I123">
        <v>26.11</v>
      </c>
      <c r="J123">
        <v>13</v>
      </c>
      <c r="K123">
        <v>30</v>
      </c>
    </row>
    <row r="124" spans="1:16">
      <c r="B124" t="s">
        <v>157</v>
      </c>
      <c r="C124" t="s">
        <v>158</v>
      </c>
      <c r="F124">
        <v>4.085</v>
      </c>
      <c r="G124">
        <v>0.457</v>
      </c>
      <c r="H124">
        <v>24.3</v>
      </c>
      <c r="I124">
        <v>26.12</v>
      </c>
      <c r="J124">
        <v>13</v>
      </c>
      <c r="K124">
        <v>30</v>
      </c>
    </row>
    <row r="125" spans="1:16">
      <c r="C125" t="s">
        <v>159</v>
      </c>
      <c r="G125">
        <v>0.457</v>
      </c>
      <c r="H125">
        <v>23.76</v>
      </c>
      <c r="I125">
        <v>26.67</v>
      </c>
      <c r="L125">
        <v>-0.617</v>
      </c>
      <c r="O125" t="s">
        <v>160</v>
      </c>
      <c r="P125" t="s">
        <v>161</v>
      </c>
    </row>
    <row r="126" spans="1:16">
      <c r="A126" t="s">
        <v>7</v>
      </c>
      <c r="B126">
        <v>1</v>
      </c>
      <c r="D126">
        <v>20</v>
      </c>
      <c r="E126">
        <v>7.9</v>
      </c>
      <c r="F126">
        <v>6.164</v>
      </c>
      <c r="G126">
        <v>1.378</v>
      </c>
      <c r="H126">
        <v>5.02</v>
      </c>
      <c r="I126">
        <v>10.78</v>
      </c>
      <c r="M126" t="str">
        <f>CONCATENATE(TEXT(E126,"0.00"),"±",TEXT(F126,"0.00"),)</f>
        <v>7.90±6.16</v>
      </c>
      <c r="O126" t="s">
        <v>162</v>
      </c>
      <c r="P126" t="s">
        <v>163</v>
      </c>
    </row>
    <row r="127" spans="1:16">
      <c r="B127">
        <v>2</v>
      </c>
      <c r="D127">
        <v>20</v>
      </c>
      <c r="E127">
        <v>9.15</v>
      </c>
      <c r="F127">
        <v>6.831</v>
      </c>
      <c r="G127">
        <v>1.527</v>
      </c>
      <c r="H127">
        <v>5.95</v>
      </c>
      <c r="I127">
        <v>12.35</v>
      </c>
      <c r="J127">
        <v>0</v>
      </c>
      <c r="K127">
        <v>20</v>
      </c>
      <c r="M127" t="str">
        <f>CONCATENATE(TEXT(E127,"0.00"),"±",TEXT(F127,"0.00"),)</f>
        <v>9.15±6.83</v>
      </c>
      <c r="O127" t="s">
        <v>164</v>
      </c>
      <c r="P127" t="s">
        <v>165</v>
      </c>
    </row>
    <row r="128" spans="1:16">
      <c r="B128">
        <v>3</v>
      </c>
      <c r="D128">
        <v>20</v>
      </c>
      <c r="E128">
        <v>9.85</v>
      </c>
      <c r="F128">
        <v>9.092</v>
      </c>
      <c r="G128">
        <v>2.033</v>
      </c>
      <c r="H128">
        <v>5.59</v>
      </c>
      <c r="I128">
        <v>14.11</v>
      </c>
      <c r="J128">
        <v>0</v>
      </c>
      <c r="K128">
        <v>20</v>
      </c>
      <c r="M128" t="str">
        <f>CONCATENATE(TEXT(E128,"0.00"),"±",TEXT(F128,"0.00"),)</f>
        <v>9.85±9.09</v>
      </c>
      <c r="O128" t="s">
        <v>166</v>
      </c>
      <c r="P128" t="s">
        <v>167</v>
      </c>
    </row>
    <row r="129" spans="1:16">
      <c r="B129">
        <v>4</v>
      </c>
      <c r="D129">
        <v>20</v>
      </c>
      <c r="E129">
        <v>12</v>
      </c>
      <c r="F129">
        <v>9.102</v>
      </c>
      <c r="G129">
        <v>2.035</v>
      </c>
      <c r="H129">
        <v>7.74</v>
      </c>
      <c r="I129">
        <v>16.26</v>
      </c>
      <c r="J129">
        <v>0</v>
      </c>
      <c r="K129">
        <v>28</v>
      </c>
      <c r="M129" t="str">
        <f>CONCATENATE(TEXT(E129,"0.00"),"±",TEXT(F129,"0.00"),)</f>
        <v>12.00±9.10</v>
      </c>
      <c r="O129" t="s">
        <v>168</v>
      </c>
      <c r="P129" t="s">
        <v>169</v>
      </c>
    </row>
    <row r="130" spans="1:16">
      <c r="B130" t="s">
        <v>147</v>
      </c>
      <c r="D130">
        <v>80</v>
      </c>
      <c r="E130">
        <v>9.73</v>
      </c>
      <c r="F130">
        <v>7.9</v>
      </c>
      <c r="G130">
        <v>0.883</v>
      </c>
      <c r="H130">
        <v>7.97</v>
      </c>
      <c r="I130">
        <v>11.48</v>
      </c>
      <c r="J130">
        <v>0</v>
      </c>
      <c r="K130">
        <v>28</v>
      </c>
    </row>
    <row r="131" spans="1:16">
      <c r="B131" t="s">
        <v>157</v>
      </c>
      <c r="C131" t="s">
        <v>158</v>
      </c>
      <c r="F131">
        <v>7.908</v>
      </c>
      <c r="G131">
        <v>0.884</v>
      </c>
      <c r="H131">
        <v>7.96</v>
      </c>
      <c r="I131">
        <v>11.49</v>
      </c>
      <c r="J131">
        <v>0</v>
      </c>
      <c r="K131">
        <v>28</v>
      </c>
    </row>
    <row r="132" spans="1:16">
      <c r="C132" t="s">
        <v>159</v>
      </c>
      <c r="G132">
        <v>0.884</v>
      </c>
      <c r="H132">
        <v>6.91</v>
      </c>
      <c r="I132">
        <v>12.54</v>
      </c>
      <c r="L132">
        <v>-0.176</v>
      </c>
    </row>
    <row r="133" spans="1:16">
      <c r="A133" t="s">
        <v>8</v>
      </c>
      <c r="B133">
        <v>1</v>
      </c>
      <c r="D133">
        <v>20</v>
      </c>
      <c r="E133">
        <v>14.1</v>
      </c>
      <c r="F133">
        <v>9.431</v>
      </c>
      <c r="G133">
        <v>2.109</v>
      </c>
      <c r="H133">
        <v>9.69</v>
      </c>
      <c r="I133">
        <v>18.51</v>
      </c>
      <c r="M133" t="str">
        <f>CONCATENATE(TEXT(E133,"0.00"),"±",TEXT(F133,"0.00"),)</f>
        <v>14.10±9.43</v>
      </c>
    </row>
    <row r="134" spans="1:16">
      <c r="B134">
        <v>2</v>
      </c>
      <c r="D134">
        <v>20</v>
      </c>
      <c r="E134">
        <v>14.85</v>
      </c>
      <c r="F134">
        <v>9.799</v>
      </c>
      <c r="G134">
        <v>2.191</v>
      </c>
      <c r="H134">
        <v>10.26</v>
      </c>
      <c r="I134">
        <v>19.44</v>
      </c>
      <c r="J134">
        <v>3</v>
      </c>
      <c r="K134">
        <v>36</v>
      </c>
      <c r="M134" t="str">
        <f>CONCATENATE(TEXT(E134,"0.00"),"±",TEXT(F134,"0.00"),)</f>
        <v>14.85±9.80</v>
      </c>
    </row>
    <row r="135" spans="1:16">
      <c r="B135">
        <v>3</v>
      </c>
      <c r="D135">
        <v>20</v>
      </c>
      <c r="E135">
        <v>16.65</v>
      </c>
      <c r="F135">
        <v>9.874</v>
      </c>
      <c r="G135">
        <v>2.208</v>
      </c>
      <c r="H135">
        <v>12.03</v>
      </c>
      <c r="I135">
        <v>21.27</v>
      </c>
      <c r="J135">
        <v>1</v>
      </c>
      <c r="K135">
        <v>36</v>
      </c>
      <c r="M135" t="str">
        <f>CONCATENATE(TEXT(E135,"0.00"),"±",TEXT(F135,"0.00"),)</f>
        <v>16.65±9.87</v>
      </c>
    </row>
    <row r="136" spans="1:16">
      <c r="B136">
        <v>4</v>
      </c>
      <c r="D136">
        <v>20</v>
      </c>
      <c r="E136">
        <v>22.25</v>
      </c>
      <c r="F136">
        <v>9.716</v>
      </c>
      <c r="G136">
        <v>2.173</v>
      </c>
      <c r="H136">
        <v>17.7</v>
      </c>
      <c r="I136">
        <v>26.8</v>
      </c>
      <c r="J136">
        <v>4</v>
      </c>
      <c r="K136">
        <v>33</v>
      </c>
      <c r="M136" t="str">
        <f>CONCATENATE(TEXT(E136,"0.00"),"±",TEXT(F136,"0.00"),)</f>
        <v>22.25±9.72</v>
      </c>
    </row>
    <row r="137" spans="1:16">
      <c r="B137" t="s">
        <v>147</v>
      </c>
      <c r="D137">
        <v>80</v>
      </c>
      <c r="E137">
        <v>16.96</v>
      </c>
      <c r="F137">
        <v>10.047</v>
      </c>
      <c r="G137">
        <v>1.123</v>
      </c>
      <c r="H137">
        <v>14.73</v>
      </c>
      <c r="I137">
        <v>19.2</v>
      </c>
      <c r="J137">
        <v>4</v>
      </c>
      <c r="K137">
        <v>33</v>
      </c>
    </row>
    <row r="138" spans="1:16">
      <c r="B138" t="s">
        <v>157</v>
      </c>
      <c r="C138" t="s">
        <v>158</v>
      </c>
      <c r="F138">
        <v>9.707</v>
      </c>
      <c r="G138">
        <v>1.085</v>
      </c>
      <c r="H138">
        <v>14.8</v>
      </c>
      <c r="I138">
        <v>19.12</v>
      </c>
      <c r="J138">
        <v>1</v>
      </c>
      <c r="K138">
        <v>36</v>
      </c>
    </row>
    <row r="139" spans="1:16">
      <c r="C139" t="s">
        <v>159</v>
      </c>
      <c r="G139">
        <v>1.842</v>
      </c>
      <c r="H139">
        <v>11.1</v>
      </c>
      <c r="I139">
        <v>22.82</v>
      </c>
      <c r="L139">
        <v>8.86</v>
      </c>
    </row>
    <row r="140" spans="1:16">
      <c r="A140" t="s">
        <v>9</v>
      </c>
      <c r="B140">
        <v>1</v>
      </c>
      <c r="D140">
        <v>20</v>
      </c>
      <c r="E140">
        <v>6.2</v>
      </c>
      <c r="F140">
        <v>8.134</v>
      </c>
      <c r="G140">
        <v>1.819</v>
      </c>
      <c r="H140">
        <v>2.39</v>
      </c>
      <c r="I140">
        <v>10.01</v>
      </c>
      <c r="M140" t="str">
        <f>CONCATENATE(TEXT(E140,"0.00"),"±",TEXT(F140,"0.00"),)</f>
        <v>6.20±8.13</v>
      </c>
    </row>
    <row r="141" spans="1:16">
      <c r="B141">
        <v>2</v>
      </c>
      <c r="D141">
        <v>20</v>
      </c>
      <c r="E141">
        <v>5.7</v>
      </c>
      <c r="F141">
        <v>7.726</v>
      </c>
      <c r="G141">
        <v>1.728</v>
      </c>
      <c r="H141">
        <v>2.08</v>
      </c>
      <c r="I141">
        <v>9.32</v>
      </c>
      <c r="J141">
        <v>0</v>
      </c>
      <c r="K141">
        <v>28</v>
      </c>
      <c r="M141" t="str">
        <f t="shared" ref="M141:M172" si="0">CONCATENATE(TEXT(E141,"0.00"),"±",TEXT(F141,"0.00"),)</f>
        <v>5.70±7.73</v>
      </c>
    </row>
    <row r="142" spans="1:16">
      <c r="B142">
        <v>3</v>
      </c>
      <c r="D142">
        <v>20</v>
      </c>
      <c r="E142">
        <v>6.8</v>
      </c>
      <c r="F142">
        <v>7.15</v>
      </c>
      <c r="G142">
        <v>1.599</v>
      </c>
      <c r="H142">
        <v>3.45</v>
      </c>
      <c r="I142">
        <v>10.15</v>
      </c>
      <c r="J142">
        <v>-7</v>
      </c>
      <c r="K142">
        <v>26</v>
      </c>
      <c r="M142" t="str">
        <f t="shared" si="0"/>
        <v>6.80±7.15</v>
      </c>
    </row>
    <row r="143" spans="1:16">
      <c r="B143">
        <v>4</v>
      </c>
      <c r="D143">
        <v>20</v>
      </c>
      <c r="E143">
        <v>10.25</v>
      </c>
      <c r="F143">
        <v>8.777</v>
      </c>
      <c r="G143">
        <v>1.963</v>
      </c>
      <c r="H143">
        <v>6.14</v>
      </c>
      <c r="I143">
        <v>14.36</v>
      </c>
      <c r="J143">
        <v>-6</v>
      </c>
      <c r="K143">
        <v>24</v>
      </c>
      <c r="M143" t="str">
        <f t="shared" si="0"/>
        <v>10.25±8.78</v>
      </c>
    </row>
    <row r="144" spans="1:16">
      <c r="B144" t="s">
        <v>147</v>
      </c>
      <c r="D144">
        <v>80</v>
      </c>
      <c r="E144">
        <v>7.24</v>
      </c>
      <c r="F144">
        <v>8.019</v>
      </c>
      <c r="G144">
        <v>0.897</v>
      </c>
      <c r="H144">
        <v>5.45</v>
      </c>
      <c r="I144">
        <v>9.02</v>
      </c>
      <c r="J144">
        <v>0</v>
      </c>
      <c r="K144">
        <v>33</v>
      </c>
    </row>
    <row r="145" spans="1:13">
      <c r="B145" t="s">
        <v>157</v>
      </c>
      <c r="C145" t="s">
        <v>158</v>
      </c>
      <c r="F145">
        <v>7.969</v>
      </c>
      <c r="G145">
        <v>0.891</v>
      </c>
      <c r="H145">
        <v>5.46</v>
      </c>
      <c r="I145">
        <v>9.01</v>
      </c>
      <c r="J145">
        <v>-7</v>
      </c>
      <c r="K145">
        <v>33</v>
      </c>
    </row>
    <row r="146" spans="1:13">
      <c r="C146" t="s">
        <v>159</v>
      </c>
      <c r="G146">
        <v>1.029</v>
      </c>
      <c r="H146">
        <v>3.96</v>
      </c>
      <c r="I146">
        <v>10.51</v>
      </c>
      <c r="L146">
        <v>1.06</v>
      </c>
    </row>
    <row r="147" spans="1:13">
      <c r="A147" t="s">
        <v>10</v>
      </c>
      <c r="B147">
        <v>1</v>
      </c>
      <c r="D147">
        <v>20</v>
      </c>
      <c r="E147">
        <v>2.8</v>
      </c>
      <c r="F147">
        <v>5.89</v>
      </c>
      <c r="G147">
        <v>1.317</v>
      </c>
      <c r="H147">
        <v>0.04</v>
      </c>
      <c r="I147">
        <v>5.56</v>
      </c>
      <c r="M147" t="str">
        <f t="shared" si="0"/>
        <v>2.80±5.89</v>
      </c>
    </row>
    <row r="148" spans="1:13">
      <c r="B148">
        <v>2</v>
      </c>
      <c r="D148">
        <v>20</v>
      </c>
      <c r="E148">
        <v>3.25</v>
      </c>
      <c r="F148">
        <v>5.6</v>
      </c>
      <c r="G148">
        <v>1.252</v>
      </c>
      <c r="H148">
        <v>0.63</v>
      </c>
      <c r="I148">
        <v>5.87</v>
      </c>
      <c r="J148">
        <v>0</v>
      </c>
      <c r="K148">
        <v>19</v>
      </c>
      <c r="M148" t="str">
        <f t="shared" si="0"/>
        <v>3.25±5.60</v>
      </c>
    </row>
    <row r="149" spans="1:13">
      <c r="B149">
        <v>3</v>
      </c>
      <c r="D149">
        <v>20</v>
      </c>
      <c r="E149">
        <v>3.3</v>
      </c>
      <c r="F149">
        <v>7.456</v>
      </c>
      <c r="G149">
        <v>1.667</v>
      </c>
      <c r="H149">
        <v>-0.19</v>
      </c>
      <c r="I149">
        <v>6.79</v>
      </c>
      <c r="J149">
        <v>0</v>
      </c>
      <c r="K149">
        <v>17</v>
      </c>
      <c r="M149" t="str">
        <f t="shared" si="0"/>
        <v>3.30±7.46</v>
      </c>
    </row>
    <row r="150" spans="1:13">
      <c r="B150">
        <v>4</v>
      </c>
      <c r="D150">
        <v>20</v>
      </c>
      <c r="E150">
        <v>4.4</v>
      </c>
      <c r="F150">
        <v>4.784</v>
      </c>
      <c r="G150">
        <v>1.07</v>
      </c>
      <c r="H150">
        <v>2.16</v>
      </c>
      <c r="I150">
        <v>6.64</v>
      </c>
      <c r="J150">
        <v>0</v>
      </c>
      <c r="K150">
        <v>24</v>
      </c>
      <c r="M150" t="str">
        <f t="shared" si="0"/>
        <v>4.40±4.78</v>
      </c>
    </row>
    <row r="151" spans="1:13">
      <c r="B151" t="s">
        <v>147</v>
      </c>
      <c r="D151">
        <v>80</v>
      </c>
      <c r="E151">
        <v>3.44</v>
      </c>
      <c r="F151">
        <v>5.925</v>
      </c>
      <c r="G151">
        <v>0.662</v>
      </c>
      <c r="H151">
        <v>2.12</v>
      </c>
      <c r="I151">
        <v>4.76</v>
      </c>
      <c r="J151">
        <v>0</v>
      </c>
      <c r="K151">
        <v>14</v>
      </c>
    </row>
    <row r="152" spans="1:13">
      <c r="B152" t="s">
        <v>157</v>
      </c>
      <c r="C152" t="s">
        <v>158</v>
      </c>
      <c r="F152">
        <v>6.011</v>
      </c>
      <c r="G152">
        <v>0.672</v>
      </c>
      <c r="H152">
        <v>2.1</v>
      </c>
      <c r="I152">
        <v>4.78</v>
      </c>
      <c r="J152">
        <v>0</v>
      </c>
      <c r="K152">
        <v>24</v>
      </c>
    </row>
    <row r="153" spans="1:13">
      <c r="C153" t="s">
        <v>159</v>
      </c>
      <c r="G153">
        <v>0.672</v>
      </c>
      <c r="H153">
        <v>1.3</v>
      </c>
      <c r="I153">
        <v>5.58</v>
      </c>
      <c r="L153">
        <v>-1.344</v>
      </c>
    </row>
    <row r="154" spans="1:13">
      <c r="A154" t="s">
        <v>11</v>
      </c>
      <c r="B154">
        <v>1</v>
      </c>
      <c r="D154">
        <v>20</v>
      </c>
      <c r="E154">
        <v>7.45</v>
      </c>
      <c r="F154">
        <v>9.96</v>
      </c>
      <c r="G154">
        <v>2.227</v>
      </c>
      <c r="H154">
        <v>2.79</v>
      </c>
      <c r="I154">
        <v>12.11</v>
      </c>
      <c r="M154" t="str">
        <f t="shared" si="0"/>
        <v>7.45±9.96</v>
      </c>
    </row>
    <row r="155" spans="1:13">
      <c r="B155">
        <v>2</v>
      </c>
      <c r="D155">
        <v>20</v>
      </c>
      <c r="E155">
        <v>6.85</v>
      </c>
      <c r="F155">
        <v>8.177</v>
      </c>
      <c r="G155">
        <v>1.829</v>
      </c>
      <c r="H155">
        <v>3.02</v>
      </c>
      <c r="I155">
        <v>10.68</v>
      </c>
      <c r="J155">
        <v>0</v>
      </c>
      <c r="K155">
        <v>35</v>
      </c>
      <c r="M155" t="str">
        <f t="shared" si="0"/>
        <v>6.85±8.18</v>
      </c>
    </row>
    <row r="156" spans="1:13">
      <c r="B156">
        <v>3</v>
      </c>
      <c r="D156">
        <v>20</v>
      </c>
      <c r="E156">
        <v>7.4</v>
      </c>
      <c r="F156">
        <v>9.489</v>
      </c>
      <c r="G156">
        <v>2.122</v>
      </c>
      <c r="H156">
        <v>2.96</v>
      </c>
      <c r="I156">
        <v>11.84</v>
      </c>
      <c r="J156">
        <v>0</v>
      </c>
      <c r="K156">
        <v>32</v>
      </c>
      <c r="M156" t="str">
        <f t="shared" si="0"/>
        <v>7.40±9.49</v>
      </c>
    </row>
    <row r="157" spans="1:13">
      <c r="B157">
        <v>4</v>
      </c>
      <c r="D157">
        <v>20</v>
      </c>
      <c r="E157">
        <v>15.65</v>
      </c>
      <c r="F157">
        <v>9.275</v>
      </c>
      <c r="G157">
        <v>2.074</v>
      </c>
      <c r="H157">
        <v>11.31</v>
      </c>
      <c r="I157">
        <v>19.99</v>
      </c>
      <c r="J157">
        <v>0</v>
      </c>
      <c r="K157">
        <v>30</v>
      </c>
      <c r="M157" t="str">
        <f t="shared" si="0"/>
        <v>15.65±9.28</v>
      </c>
    </row>
    <row r="158" spans="1:13">
      <c r="B158" t="s">
        <v>147</v>
      </c>
      <c r="D158">
        <v>80</v>
      </c>
      <c r="E158">
        <v>9.34</v>
      </c>
      <c r="F158">
        <v>9.788</v>
      </c>
      <c r="G158">
        <v>1.094</v>
      </c>
      <c r="H158">
        <v>7.16</v>
      </c>
      <c r="I158">
        <v>11.52</v>
      </c>
      <c r="J158">
        <v>0</v>
      </c>
      <c r="K158">
        <v>35</v>
      </c>
    </row>
    <row r="159" spans="1:13">
      <c r="B159" t="s">
        <v>157</v>
      </c>
      <c r="C159" t="s">
        <v>158</v>
      </c>
      <c r="F159">
        <v>9.249</v>
      </c>
      <c r="G159">
        <v>1.034</v>
      </c>
      <c r="H159">
        <v>7.28</v>
      </c>
      <c r="I159">
        <v>11.4</v>
      </c>
      <c r="J159">
        <v>0</v>
      </c>
      <c r="K159">
        <v>35</v>
      </c>
    </row>
    <row r="160" spans="1:13">
      <c r="C160" t="s">
        <v>159</v>
      </c>
      <c r="G160">
        <v>2.109</v>
      </c>
      <c r="H160">
        <v>2.63</v>
      </c>
      <c r="I160">
        <v>16.05</v>
      </c>
      <c r="L160">
        <v>13.158</v>
      </c>
    </row>
    <row r="161" spans="1:13">
      <c r="A161" t="s">
        <v>12</v>
      </c>
      <c r="B161">
        <v>1</v>
      </c>
      <c r="D161">
        <v>20</v>
      </c>
      <c r="E161">
        <v>4.65</v>
      </c>
      <c r="F161">
        <v>5.976</v>
      </c>
      <c r="G161">
        <v>1.336</v>
      </c>
      <c r="H161">
        <v>1.85</v>
      </c>
      <c r="I161">
        <v>7.45</v>
      </c>
      <c r="M161" t="str">
        <f t="shared" si="0"/>
        <v>4.65±5.98</v>
      </c>
    </row>
    <row r="162" spans="1:13">
      <c r="B162">
        <v>2</v>
      </c>
      <c r="D162">
        <v>20</v>
      </c>
      <c r="E162">
        <v>3.6</v>
      </c>
      <c r="F162">
        <v>5.355</v>
      </c>
      <c r="G162">
        <v>1.197</v>
      </c>
      <c r="H162">
        <v>1.09</v>
      </c>
      <c r="I162">
        <v>6.11</v>
      </c>
      <c r="J162">
        <v>0</v>
      </c>
      <c r="K162">
        <v>21</v>
      </c>
      <c r="M162" t="str">
        <f t="shared" si="0"/>
        <v>3.60±5.36</v>
      </c>
    </row>
    <row r="163" spans="1:13">
      <c r="B163">
        <v>3</v>
      </c>
      <c r="D163">
        <v>20</v>
      </c>
      <c r="E163">
        <v>4.1</v>
      </c>
      <c r="F163">
        <v>4.778</v>
      </c>
      <c r="G163">
        <v>1.068</v>
      </c>
      <c r="H163">
        <v>1.86</v>
      </c>
      <c r="I163">
        <v>6.34</v>
      </c>
      <c r="J163">
        <v>-4</v>
      </c>
      <c r="K163">
        <v>16</v>
      </c>
      <c r="M163" t="str">
        <f t="shared" si="0"/>
        <v>4.10±4.78</v>
      </c>
    </row>
    <row r="164" spans="1:13">
      <c r="B164">
        <v>4</v>
      </c>
      <c r="D164">
        <v>20</v>
      </c>
      <c r="E164">
        <v>11.25</v>
      </c>
      <c r="F164">
        <v>8.843</v>
      </c>
      <c r="G164">
        <v>1.977</v>
      </c>
      <c r="H164">
        <v>7.11</v>
      </c>
      <c r="I164">
        <v>15.39</v>
      </c>
      <c r="J164">
        <v>0</v>
      </c>
      <c r="K164">
        <v>16</v>
      </c>
      <c r="M164" t="str">
        <f t="shared" si="0"/>
        <v>11.25±8.84</v>
      </c>
    </row>
    <row r="165" spans="1:13">
      <c r="B165" t="s">
        <v>147</v>
      </c>
      <c r="D165">
        <v>80</v>
      </c>
      <c r="E165">
        <v>5.9</v>
      </c>
      <c r="F165">
        <v>7.042</v>
      </c>
      <c r="G165">
        <v>0.787</v>
      </c>
      <c r="H165">
        <v>4.33</v>
      </c>
      <c r="I165">
        <v>7.47</v>
      </c>
      <c r="J165">
        <v>0</v>
      </c>
      <c r="K165">
        <v>33</v>
      </c>
    </row>
    <row r="166" spans="1:13">
      <c r="B166" t="s">
        <v>157</v>
      </c>
      <c r="C166" t="s">
        <v>158</v>
      </c>
      <c r="F166">
        <v>6.431</v>
      </c>
      <c r="G166">
        <v>0.719</v>
      </c>
      <c r="H166">
        <v>4.47</v>
      </c>
      <c r="I166">
        <v>7.33</v>
      </c>
      <c r="J166">
        <v>-4</v>
      </c>
      <c r="K166">
        <v>33</v>
      </c>
    </row>
    <row r="167" spans="1:13">
      <c r="C167" t="s">
        <v>159</v>
      </c>
      <c r="G167">
        <v>1.796</v>
      </c>
      <c r="H167">
        <v>0.18</v>
      </c>
      <c r="I167">
        <v>11.62</v>
      </c>
      <c r="L167">
        <v>10.837</v>
      </c>
    </row>
    <row r="168" spans="1:13">
      <c r="A168" t="s">
        <v>13</v>
      </c>
      <c r="B168">
        <v>1</v>
      </c>
      <c r="D168">
        <v>20</v>
      </c>
      <c r="E168">
        <v>5.35</v>
      </c>
      <c r="F168">
        <v>11.282</v>
      </c>
      <c r="G168">
        <v>2.523</v>
      </c>
      <c r="H168">
        <v>0.07</v>
      </c>
      <c r="I168">
        <v>10.63</v>
      </c>
      <c r="M168" t="str">
        <f t="shared" si="0"/>
        <v>5.35±11.28</v>
      </c>
    </row>
    <row r="169" spans="1:13">
      <c r="B169">
        <v>2</v>
      </c>
      <c r="D169">
        <v>20</v>
      </c>
      <c r="E169">
        <v>4.65</v>
      </c>
      <c r="F169">
        <v>8.431</v>
      </c>
      <c r="G169">
        <v>1.885</v>
      </c>
      <c r="H169">
        <v>0.7</v>
      </c>
      <c r="I169">
        <v>8.6</v>
      </c>
      <c r="J169">
        <v>0</v>
      </c>
      <c r="K169">
        <v>40</v>
      </c>
      <c r="M169" t="str">
        <f t="shared" si="0"/>
        <v>4.65±8.43</v>
      </c>
    </row>
    <row r="170" spans="1:13">
      <c r="B170">
        <v>3</v>
      </c>
      <c r="D170">
        <v>20</v>
      </c>
      <c r="E170">
        <v>6.6</v>
      </c>
      <c r="F170">
        <v>12.869</v>
      </c>
      <c r="G170">
        <v>2.878</v>
      </c>
      <c r="H170">
        <v>0.58</v>
      </c>
      <c r="I170">
        <v>12.62</v>
      </c>
      <c r="J170">
        <v>0</v>
      </c>
      <c r="K170">
        <v>30</v>
      </c>
      <c r="M170" t="str">
        <f t="shared" si="0"/>
        <v>6.60±12.87</v>
      </c>
    </row>
    <row r="171" spans="1:13">
      <c r="B171">
        <v>4</v>
      </c>
      <c r="D171">
        <v>20</v>
      </c>
      <c r="E171">
        <v>8.9</v>
      </c>
      <c r="F171">
        <v>11.045</v>
      </c>
      <c r="G171">
        <v>2.47</v>
      </c>
      <c r="H171">
        <v>3.73</v>
      </c>
      <c r="I171">
        <v>14.07</v>
      </c>
      <c r="J171">
        <v>0</v>
      </c>
      <c r="K171">
        <v>44</v>
      </c>
      <c r="M171" t="str">
        <f t="shared" si="0"/>
        <v>8.90±11.05</v>
      </c>
    </row>
    <row r="172" spans="1:13">
      <c r="B172" t="s">
        <v>147</v>
      </c>
      <c r="D172">
        <v>80</v>
      </c>
      <c r="E172">
        <v>6.38</v>
      </c>
      <c r="F172">
        <v>10.933</v>
      </c>
      <c r="G172">
        <v>1.222</v>
      </c>
      <c r="H172">
        <v>3.94</v>
      </c>
      <c r="I172">
        <v>8.81</v>
      </c>
      <c r="J172">
        <v>0</v>
      </c>
      <c r="K172">
        <v>38</v>
      </c>
    </row>
    <row r="173" spans="1:13">
      <c r="B173" t="s">
        <v>157</v>
      </c>
      <c r="C173" t="s">
        <v>158</v>
      </c>
      <c r="F173">
        <v>11.023</v>
      </c>
      <c r="G173">
        <v>1.232</v>
      </c>
      <c r="H173">
        <v>3.92</v>
      </c>
      <c r="I173">
        <v>8.83</v>
      </c>
      <c r="J173">
        <v>0</v>
      </c>
      <c r="K173">
        <v>44</v>
      </c>
    </row>
    <row r="174" spans="1:13">
      <c r="C174" t="s">
        <v>159</v>
      </c>
      <c r="G174">
        <v>1.232</v>
      </c>
      <c r="H174">
        <v>2.45</v>
      </c>
      <c r="I174">
        <v>10.3</v>
      </c>
      <c r="L174">
        <v>-2.591</v>
      </c>
    </row>
    <row r="175" spans="1:13">
      <c r="A175" t="s">
        <v>14</v>
      </c>
      <c r="B175">
        <v>1</v>
      </c>
      <c r="D175">
        <v>19</v>
      </c>
      <c r="E175">
        <v>12.21</v>
      </c>
      <c r="F175">
        <v>14.741</v>
      </c>
      <c r="G175">
        <v>3.382</v>
      </c>
      <c r="H175">
        <v>5.11</v>
      </c>
      <c r="I175">
        <v>19.32</v>
      </c>
      <c r="M175" t="str">
        <f t="shared" ref="M173:M206" si="1">CONCATENATE(TEXT(E175,"0.00"),"±",TEXT(F175,"0.00"),)</f>
        <v>12.21±14.74</v>
      </c>
    </row>
    <row r="176" spans="1:13">
      <c r="B176">
        <v>2</v>
      </c>
      <c r="D176">
        <v>20</v>
      </c>
      <c r="E176">
        <v>12.25</v>
      </c>
      <c r="F176">
        <v>15.744</v>
      </c>
      <c r="G176">
        <v>3.521</v>
      </c>
      <c r="H176">
        <v>4.88</v>
      </c>
      <c r="I176">
        <v>19.62</v>
      </c>
      <c r="J176">
        <v>0</v>
      </c>
      <c r="K176">
        <v>50</v>
      </c>
      <c r="M176" t="str">
        <f t="shared" si="1"/>
        <v>12.25±15.74</v>
      </c>
    </row>
    <row r="177" spans="1:13">
      <c r="B177">
        <v>3</v>
      </c>
      <c r="D177">
        <v>20</v>
      </c>
      <c r="E177">
        <v>13.2</v>
      </c>
      <c r="F177">
        <v>17.148</v>
      </c>
      <c r="G177">
        <v>3.834</v>
      </c>
      <c r="H177">
        <v>5.17</v>
      </c>
      <c r="I177">
        <v>21.23</v>
      </c>
      <c r="J177">
        <v>0</v>
      </c>
      <c r="K177">
        <v>57</v>
      </c>
      <c r="M177" t="str">
        <f t="shared" si="1"/>
        <v>13.20±17.15</v>
      </c>
    </row>
    <row r="178" spans="1:13">
      <c r="B178">
        <v>4</v>
      </c>
      <c r="D178">
        <v>20</v>
      </c>
      <c r="E178">
        <v>26.85</v>
      </c>
      <c r="F178">
        <v>17.397</v>
      </c>
      <c r="G178">
        <v>3.89</v>
      </c>
      <c r="H178">
        <v>18.71</v>
      </c>
      <c r="I178">
        <v>34.99</v>
      </c>
      <c r="J178">
        <v>0</v>
      </c>
      <c r="K178">
        <v>51</v>
      </c>
      <c r="M178" t="str">
        <f t="shared" si="1"/>
        <v>26.85±17.40</v>
      </c>
    </row>
    <row r="179" spans="1:13">
      <c r="B179" t="s">
        <v>147</v>
      </c>
      <c r="D179">
        <v>79</v>
      </c>
      <c r="E179">
        <v>16.18</v>
      </c>
      <c r="F179">
        <v>17.18</v>
      </c>
      <c r="G179">
        <v>1.933</v>
      </c>
      <c r="H179">
        <v>12.33</v>
      </c>
      <c r="I179">
        <v>20.03</v>
      </c>
      <c r="J179">
        <v>0</v>
      </c>
      <c r="K179">
        <v>55</v>
      </c>
    </row>
    <row r="180" spans="1:13">
      <c r="B180" t="s">
        <v>157</v>
      </c>
      <c r="C180" t="s">
        <v>158</v>
      </c>
      <c r="F180">
        <v>16.313</v>
      </c>
      <c r="G180">
        <v>1.835</v>
      </c>
      <c r="H180">
        <v>12.52</v>
      </c>
      <c r="I180">
        <v>19.83</v>
      </c>
      <c r="J180">
        <v>0</v>
      </c>
      <c r="K180">
        <v>57</v>
      </c>
    </row>
    <row r="181" spans="1:13">
      <c r="C181" t="s">
        <v>159</v>
      </c>
      <c r="G181">
        <v>3.596</v>
      </c>
      <c r="H181">
        <v>4.73</v>
      </c>
      <c r="I181">
        <v>27.62</v>
      </c>
      <c r="L181">
        <v>38.226</v>
      </c>
    </row>
    <row r="182" spans="1:13">
      <c r="A182" t="s">
        <v>15</v>
      </c>
      <c r="B182">
        <v>1</v>
      </c>
      <c r="D182">
        <v>20</v>
      </c>
      <c r="E182">
        <v>6.25</v>
      </c>
      <c r="F182">
        <v>6.695</v>
      </c>
      <c r="G182">
        <v>1.497</v>
      </c>
      <c r="H182">
        <v>3.12</v>
      </c>
      <c r="I182">
        <v>9.38</v>
      </c>
      <c r="M182" t="str">
        <f t="shared" si="1"/>
        <v>6.25±6.70</v>
      </c>
    </row>
    <row r="183" spans="1:13">
      <c r="B183">
        <v>2</v>
      </c>
      <c r="D183">
        <v>20</v>
      </c>
      <c r="E183">
        <v>7.6</v>
      </c>
      <c r="F183">
        <v>8.917</v>
      </c>
      <c r="G183">
        <v>1.994</v>
      </c>
      <c r="H183">
        <v>3.43</v>
      </c>
      <c r="I183">
        <v>11.77</v>
      </c>
      <c r="J183">
        <v>0</v>
      </c>
      <c r="K183">
        <v>22</v>
      </c>
      <c r="M183" t="str">
        <f t="shared" si="1"/>
        <v>7.60±8.92</v>
      </c>
    </row>
    <row r="184" spans="1:13">
      <c r="B184">
        <v>3</v>
      </c>
      <c r="D184">
        <v>20</v>
      </c>
      <c r="E184">
        <v>6.6</v>
      </c>
      <c r="F184">
        <v>8.281</v>
      </c>
      <c r="G184">
        <v>1.852</v>
      </c>
      <c r="H184">
        <v>2.72</v>
      </c>
      <c r="I184">
        <v>10.48</v>
      </c>
      <c r="J184">
        <v>0</v>
      </c>
      <c r="K184">
        <v>28</v>
      </c>
      <c r="M184" t="str">
        <f t="shared" si="1"/>
        <v>6.60±8.28</v>
      </c>
    </row>
    <row r="185" spans="1:13">
      <c r="B185">
        <v>4</v>
      </c>
      <c r="D185">
        <v>20</v>
      </c>
      <c r="E185">
        <v>17.95</v>
      </c>
      <c r="F185">
        <v>14.638</v>
      </c>
      <c r="G185">
        <v>3.273</v>
      </c>
      <c r="H185">
        <v>11.1</v>
      </c>
      <c r="I185">
        <v>24.8</v>
      </c>
      <c r="J185">
        <v>0</v>
      </c>
      <c r="K185">
        <v>22</v>
      </c>
      <c r="M185" t="str">
        <f t="shared" si="1"/>
        <v>17.95±14.64</v>
      </c>
    </row>
    <row r="186" spans="1:13">
      <c r="B186" t="s">
        <v>147</v>
      </c>
      <c r="D186">
        <v>80</v>
      </c>
      <c r="E186">
        <v>9.6</v>
      </c>
      <c r="F186">
        <v>11.032</v>
      </c>
      <c r="G186">
        <v>1.233</v>
      </c>
      <c r="H186">
        <v>7.14</v>
      </c>
      <c r="I186">
        <v>12.06</v>
      </c>
      <c r="J186">
        <v>0</v>
      </c>
      <c r="K186">
        <v>53</v>
      </c>
    </row>
    <row r="187" spans="1:13">
      <c r="B187" t="s">
        <v>157</v>
      </c>
      <c r="C187" t="s">
        <v>158</v>
      </c>
      <c r="F187">
        <v>10.089</v>
      </c>
      <c r="G187">
        <v>1.128</v>
      </c>
      <c r="H187">
        <v>7.35</v>
      </c>
      <c r="I187">
        <v>11.85</v>
      </c>
      <c r="J187">
        <v>0</v>
      </c>
      <c r="K187">
        <v>53</v>
      </c>
    </row>
    <row r="188" spans="1:13">
      <c r="C188" t="s">
        <v>159</v>
      </c>
      <c r="G188">
        <v>2.798</v>
      </c>
      <c r="H188">
        <v>0.7</v>
      </c>
      <c r="I188">
        <v>18.5</v>
      </c>
      <c r="L188">
        <v>26.225</v>
      </c>
    </row>
    <row r="189" spans="1:13">
      <c r="A189" t="s">
        <v>16</v>
      </c>
      <c r="B189">
        <v>1</v>
      </c>
      <c r="D189">
        <v>20</v>
      </c>
      <c r="E189">
        <v>40.5</v>
      </c>
      <c r="F189">
        <v>17.464</v>
      </c>
      <c r="G189">
        <v>3.905</v>
      </c>
      <c r="H189">
        <v>32.33</v>
      </c>
      <c r="I189">
        <v>48.67</v>
      </c>
      <c r="M189" t="str">
        <f t="shared" si="1"/>
        <v>40.50±17.46</v>
      </c>
    </row>
    <row r="190" spans="1:13">
      <c r="B190">
        <v>2</v>
      </c>
      <c r="D190">
        <v>20</v>
      </c>
      <c r="E190">
        <v>44.5</v>
      </c>
      <c r="F190">
        <v>11.459</v>
      </c>
      <c r="G190">
        <v>2.562</v>
      </c>
      <c r="H190">
        <v>39.14</v>
      </c>
      <c r="I190">
        <v>49.86</v>
      </c>
      <c r="J190">
        <v>0</v>
      </c>
      <c r="K190">
        <v>75</v>
      </c>
      <c r="M190" t="str">
        <f t="shared" si="1"/>
        <v>44.50±11.46</v>
      </c>
    </row>
    <row r="191" spans="1:13">
      <c r="B191">
        <v>3</v>
      </c>
      <c r="D191">
        <v>20</v>
      </c>
      <c r="E191">
        <v>49.5</v>
      </c>
      <c r="F191">
        <v>15.295</v>
      </c>
      <c r="G191">
        <v>3.42</v>
      </c>
      <c r="H191">
        <v>42.34</v>
      </c>
      <c r="I191">
        <v>56.66</v>
      </c>
      <c r="J191">
        <v>10</v>
      </c>
      <c r="K191">
        <v>55</v>
      </c>
      <c r="M191" t="str">
        <f t="shared" si="1"/>
        <v>49.50±15.30</v>
      </c>
    </row>
    <row r="192" spans="1:13">
      <c r="B192">
        <v>4</v>
      </c>
      <c r="D192">
        <v>20</v>
      </c>
      <c r="E192">
        <v>42.5</v>
      </c>
      <c r="F192">
        <v>16.662</v>
      </c>
      <c r="G192">
        <v>3.726</v>
      </c>
      <c r="H192">
        <v>34.7</v>
      </c>
      <c r="I192">
        <v>50.3</v>
      </c>
      <c r="J192">
        <v>20</v>
      </c>
      <c r="K192">
        <v>80</v>
      </c>
      <c r="M192" t="str">
        <f t="shared" si="1"/>
        <v>42.50±16.66</v>
      </c>
    </row>
    <row r="193" spans="1:13">
      <c r="B193" t="s">
        <v>147</v>
      </c>
      <c r="D193">
        <v>80</v>
      </c>
      <c r="E193">
        <v>44.25</v>
      </c>
      <c r="F193">
        <v>15.469</v>
      </c>
      <c r="G193">
        <v>1.73</v>
      </c>
      <c r="H193">
        <v>40.81</v>
      </c>
      <c r="I193">
        <v>47.69</v>
      </c>
      <c r="J193">
        <v>10</v>
      </c>
      <c r="K193">
        <v>70</v>
      </c>
    </row>
    <row r="194" spans="1:13">
      <c r="B194" t="s">
        <v>157</v>
      </c>
      <c r="C194" t="s">
        <v>158</v>
      </c>
      <c r="F194">
        <v>15.394</v>
      </c>
      <c r="G194">
        <v>1.721</v>
      </c>
      <c r="H194">
        <v>40.82</v>
      </c>
      <c r="I194">
        <v>47.68</v>
      </c>
      <c r="J194">
        <v>0</v>
      </c>
      <c r="K194">
        <v>80</v>
      </c>
    </row>
    <row r="195" spans="1:13">
      <c r="C195" t="s">
        <v>159</v>
      </c>
      <c r="G195">
        <v>1.931</v>
      </c>
      <c r="H195">
        <v>38.1</v>
      </c>
      <c r="I195">
        <v>50.4</v>
      </c>
      <c r="L195">
        <v>3.068</v>
      </c>
    </row>
    <row r="196" spans="1:13">
      <c r="A196" t="s">
        <v>17</v>
      </c>
      <c r="B196">
        <v>1</v>
      </c>
      <c r="D196">
        <v>20</v>
      </c>
      <c r="E196">
        <v>58.5</v>
      </c>
      <c r="F196">
        <v>15.398</v>
      </c>
      <c r="G196">
        <v>3.443</v>
      </c>
      <c r="H196">
        <v>51.29</v>
      </c>
      <c r="I196">
        <v>65.71</v>
      </c>
      <c r="M196" t="str">
        <f t="shared" si="1"/>
        <v>58.50±15.40</v>
      </c>
    </row>
    <row r="197" spans="1:13">
      <c r="B197">
        <v>2</v>
      </c>
      <c r="D197">
        <v>20</v>
      </c>
      <c r="E197">
        <v>56.5</v>
      </c>
      <c r="F197">
        <v>17.704</v>
      </c>
      <c r="G197">
        <v>3.959</v>
      </c>
      <c r="H197">
        <v>48.21</v>
      </c>
      <c r="I197">
        <v>64.79</v>
      </c>
      <c r="J197">
        <v>30</v>
      </c>
      <c r="K197">
        <v>90</v>
      </c>
      <c r="M197" t="str">
        <f t="shared" si="1"/>
        <v>56.50±17.70</v>
      </c>
    </row>
    <row r="198" spans="1:13">
      <c r="B198">
        <v>3</v>
      </c>
      <c r="D198">
        <v>20</v>
      </c>
      <c r="E198">
        <v>64.5</v>
      </c>
      <c r="F198">
        <v>14.591</v>
      </c>
      <c r="G198">
        <v>3.263</v>
      </c>
      <c r="H198">
        <v>57.67</v>
      </c>
      <c r="I198">
        <v>71.33</v>
      </c>
      <c r="J198">
        <v>15</v>
      </c>
      <c r="K198">
        <v>100</v>
      </c>
      <c r="M198" t="str">
        <f t="shared" si="1"/>
        <v>64.50±14.59</v>
      </c>
    </row>
    <row r="199" spans="1:13">
      <c r="B199">
        <v>4</v>
      </c>
      <c r="D199">
        <v>20</v>
      </c>
      <c r="E199">
        <v>63.25</v>
      </c>
      <c r="F199">
        <v>18.728</v>
      </c>
      <c r="G199">
        <v>4.188</v>
      </c>
      <c r="H199">
        <v>54.49</v>
      </c>
      <c r="I199">
        <v>72.01</v>
      </c>
      <c r="J199">
        <v>40</v>
      </c>
      <c r="K199">
        <v>90</v>
      </c>
      <c r="M199" t="str">
        <f t="shared" si="1"/>
        <v>63.25±18.73</v>
      </c>
    </row>
    <row r="200" spans="1:13">
      <c r="B200" t="s">
        <v>147</v>
      </c>
      <c r="D200">
        <v>80</v>
      </c>
      <c r="E200">
        <v>60.69</v>
      </c>
      <c r="F200">
        <v>16.702</v>
      </c>
      <c r="G200">
        <v>1.867</v>
      </c>
      <c r="H200">
        <v>56.97</v>
      </c>
      <c r="I200">
        <v>64.4</v>
      </c>
      <c r="J200">
        <v>10</v>
      </c>
      <c r="K200">
        <v>100</v>
      </c>
    </row>
    <row r="201" spans="1:13">
      <c r="B201" t="s">
        <v>157</v>
      </c>
      <c r="C201" t="s">
        <v>158</v>
      </c>
      <c r="F201">
        <v>16.689</v>
      </c>
      <c r="G201">
        <v>1.866</v>
      </c>
      <c r="H201">
        <v>56.97</v>
      </c>
      <c r="I201">
        <v>64.4</v>
      </c>
      <c r="J201">
        <v>10</v>
      </c>
      <c r="K201">
        <v>100</v>
      </c>
    </row>
    <row r="202" spans="1:13">
      <c r="C202" t="s">
        <v>159</v>
      </c>
      <c r="G202">
        <v>1.902</v>
      </c>
      <c r="H202">
        <v>54.63</v>
      </c>
      <c r="I202">
        <v>66.74</v>
      </c>
      <c r="L202">
        <v>0.547</v>
      </c>
    </row>
    <row r="203" spans="1:13">
      <c r="A203" t="s">
        <v>18</v>
      </c>
      <c r="B203">
        <v>1</v>
      </c>
      <c r="D203">
        <v>20</v>
      </c>
      <c r="E203">
        <v>18</v>
      </c>
      <c r="F203">
        <v>12.917</v>
      </c>
      <c r="G203">
        <v>2.888</v>
      </c>
      <c r="H203">
        <v>11.95</v>
      </c>
      <c r="I203">
        <v>24.05</v>
      </c>
      <c r="M203" t="str">
        <f t="shared" si="1"/>
        <v>18.00±12.92</v>
      </c>
    </row>
    <row r="204" spans="1:13">
      <c r="B204">
        <v>2</v>
      </c>
      <c r="D204">
        <v>20</v>
      </c>
      <c r="E204">
        <v>12</v>
      </c>
      <c r="F204">
        <v>11.854</v>
      </c>
      <c r="G204">
        <v>2.651</v>
      </c>
      <c r="H204">
        <v>6.45</v>
      </c>
      <c r="I204">
        <v>17.55</v>
      </c>
      <c r="J204">
        <v>0</v>
      </c>
      <c r="K204">
        <v>50</v>
      </c>
      <c r="M204" t="str">
        <f t="shared" si="1"/>
        <v>12.00±11.85</v>
      </c>
    </row>
    <row r="205" spans="1:13">
      <c r="B205">
        <v>3</v>
      </c>
      <c r="D205">
        <v>20</v>
      </c>
      <c r="E205">
        <v>15</v>
      </c>
      <c r="F205">
        <v>10.26</v>
      </c>
      <c r="G205">
        <v>2.294</v>
      </c>
      <c r="H205">
        <v>10.2</v>
      </c>
      <c r="I205">
        <v>19.8</v>
      </c>
      <c r="J205">
        <v>0</v>
      </c>
      <c r="K205">
        <v>55</v>
      </c>
      <c r="M205" t="str">
        <f t="shared" si="1"/>
        <v>15.00±10.26</v>
      </c>
    </row>
    <row r="206" spans="1:13">
      <c r="B206">
        <v>4</v>
      </c>
      <c r="D206">
        <v>20</v>
      </c>
      <c r="E206">
        <v>20.75</v>
      </c>
      <c r="F206">
        <v>18.937</v>
      </c>
      <c r="G206">
        <v>4.234</v>
      </c>
      <c r="H206">
        <v>11.89</v>
      </c>
      <c r="I206">
        <v>29.61</v>
      </c>
      <c r="J206">
        <v>0</v>
      </c>
      <c r="K206">
        <v>40</v>
      </c>
      <c r="M206" t="str">
        <f t="shared" si="1"/>
        <v>20.75±18.94</v>
      </c>
    </row>
    <row r="207" spans="1:13">
      <c r="B207" t="s">
        <v>147</v>
      </c>
      <c r="D207">
        <v>80</v>
      </c>
      <c r="E207">
        <v>16.44</v>
      </c>
      <c r="F207">
        <v>14.012</v>
      </c>
      <c r="G207">
        <v>1.567</v>
      </c>
      <c r="H207">
        <v>13.32</v>
      </c>
      <c r="I207">
        <v>19.56</v>
      </c>
      <c r="J207">
        <v>0</v>
      </c>
      <c r="K207">
        <v>90</v>
      </c>
    </row>
    <row r="208" spans="1:13">
      <c r="B208" t="s">
        <v>147</v>
      </c>
      <c r="D208">
        <v>80</v>
      </c>
      <c r="E208">
        <v>16.44</v>
      </c>
      <c r="F208">
        <v>14.012</v>
      </c>
      <c r="G208">
        <v>1.567</v>
      </c>
      <c r="H208">
        <v>13.32</v>
      </c>
      <c r="I208">
        <v>19.56</v>
      </c>
      <c r="J208">
        <v>0</v>
      </c>
      <c r="K208">
        <v>90</v>
      </c>
    </row>
    <row r="209" spans="1:12">
      <c r="B209" t="s">
        <v>157</v>
      </c>
      <c r="C209" t="s">
        <v>158</v>
      </c>
      <c r="F209">
        <v>13.886</v>
      </c>
      <c r="G209">
        <v>1.552</v>
      </c>
      <c r="H209">
        <v>13.35</v>
      </c>
      <c r="I209">
        <v>19.53</v>
      </c>
      <c r="L209">
        <v>4.625</v>
      </c>
    </row>
    <row r="210" spans="1:12">
      <c r="C210" t="s">
        <v>159</v>
      </c>
      <c r="G210">
        <v>1.888</v>
      </c>
      <c r="H210">
        <v>10.43</v>
      </c>
      <c r="I210">
        <v>22.45</v>
      </c>
    </row>
    <row r="211" spans="1:12">
      <c r="A211" t="s">
        <v>170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A1" sqref="A1:O1048516"/>
    </sheetView>
  </sheetViews>
  <sheetFormatPr defaultColWidth="8.88888888888889" defaultRowHeight="14.4"/>
  <sheetData>
    <row r="1" spans="1:15">
      <c r="A1" s="23" t="s">
        <v>7</v>
      </c>
      <c r="B1" s="23" t="s">
        <v>8</v>
      </c>
      <c r="C1" s="23" t="s">
        <v>9</v>
      </c>
      <c r="D1" s="23"/>
      <c r="E1" s="23" t="s">
        <v>10</v>
      </c>
      <c r="F1" s="25" t="s">
        <v>11</v>
      </c>
      <c r="G1" s="23" t="s">
        <v>12</v>
      </c>
      <c r="H1" s="23"/>
      <c r="I1" s="23" t="s">
        <v>13</v>
      </c>
      <c r="J1" s="25" t="s">
        <v>14</v>
      </c>
      <c r="K1" s="23" t="s">
        <v>15</v>
      </c>
      <c r="L1" s="23"/>
      <c r="M1" s="23" t="s">
        <v>16</v>
      </c>
      <c r="N1" s="23" t="s">
        <v>17</v>
      </c>
      <c r="O1" s="23" t="s">
        <v>18</v>
      </c>
    </row>
    <row r="2" spans="1:15">
      <c r="A2" s="23">
        <v>20</v>
      </c>
      <c r="B2" s="23">
        <v>22</v>
      </c>
      <c r="C2" s="23">
        <v>2</v>
      </c>
      <c r="D2" s="23"/>
      <c r="E2" s="23">
        <v>2</v>
      </c>
      <c r="F2" s="25">
        <v>6</v>
      </c>
      <c r="G2" s="23">
        <v>4</v>
      </c>
      <c r="H2" s="23"/>
      <c r="I2" s="23">
        <v>11</v>
      </c>
      <c r="J2" s="25">
        <v>14</v>
      </c>
      <c r="K2" s="23">
        <v>3</v>
      </c>
      <c r="L2" s="23"/>
      <c r="M2" s="23">
        <v>50</v>
      </c>
      <c r="N2" s="23">
        <v>55</v>
      </c>
      <c r="O2" s="23">
        <v>5</v>
      </c>
    </row>
    <row r="3" spans="1:15">
      <c r="A3" s="23">
        <v>12</v>
      </c>
      <c r="B3" s="23">
        <v>12</v>
      </c>
      <c r="C3" s="23">
        <v>0</v>
      </c>
      <c r="D3" s="23"/>
      <c r="E3" s="23">
        <v>12</v>
      </c>
      <c r="F3" s="25">
        <v>13</v>
      </c>
      <c r="G3" s="23">
        <v>1</v>
      </c>
      <c r="H3" s="23"/>
      <c r="I3" s="23">
        <v>6</v>
      </c>
      <c r="J3" s="25">
        <v>10</v>
      </c>
      <c r="K3" s="23">
        <v>4</v>
      </c>
      <c r="L3" s="23"/>
      <c r="M3" s="23">
        <v>30</v>
      </c>
      <c r="N3" s="23">
        <v>45</v>
      </c>
      <c r="O3" s="23">
        <v>15</v>
      </c>
    </row>
    <row r="4" spans="1:15">
      <c r="A4" s="23">
        <v>4</v>
      </c>
      <c r="B4" s="23">
        <v>4</v>
      </c>
      <c r="C4" s="23">
        <v>0</v>
      </c>
      <c r="D4" s="23"/>
      <c r="E4" s="23">
        <v>0</v>
      </c>
      <c r="F4" s="25">
        <v>12</v>
      </c>
      <c r="G4" s="23">
        <v>12</v>
      </c>
      <c r="H4" s="23"/>
      <c r="I4" s="23">
        <v>0</v>
      </c>
      <c r="J4" s="25">
        <v>10</v>
      </c>
      <c r="K4" s="23">
        <v>10</v>
      </c>
      <c r="L4" s="23"/>
      <c r="M4" s="23">
        <v>25</v>
      </c>
      <c r="N4" s="23">
        <v>55</v>
      </c>
      <c r="O4" s="23">
        <v>30</v>
      </c>
    </row>
    <row r="5" spans="1:15">
      <c r="A5" s="23">
        <v>20</v>
      </c>
      <c r="B5" s="23">
        <v>36</v>
      </c>
      <c r="C5" s="23">
        <v>16</v>
      </c>
      <c r="D5" s="23"/>
      <c r="E5" s="23">
        <v>17</v>
      </c>
      <c r="F5" s="25">
        <v>29</v>
      </c>
      <c r="G5" s="23">
        <v>12</v>
      </c>
      <c r="H5" s="23"/>
      <c r="I5" s="23">
        <v>34</v>
      </c>
      <c r="J5" s="25">
        <v>50</v>
      </c>
      <c r="K5" s="23">
        <v>16</v>
      </c>
      <c r="L5" s="23"/>
      <c r="M5" s="23">
        <v>60</v>
      </c>
      <c r="N5" s="23">
        <v>90</v>
      </c>
      <c r="O5" s="23">
        <v>30</v>
      </c>
    </row>
    <row r="6" spans="1:15">
      <c r="A6" s="23">
        <v>3</v>
      </c>
      <c r="B6" s="23">
        <v>3</v>
      </c>
      <c r="C6" s="23">
        <v>0</v>
      </c>
      <c r="D6" s="23"/>
      <c r="E6" s="23">
        <v>1</v>
      </c>
      <c r="F6" s="25">
        <v>1</v>
      </c>
      <c r="G6" s="23">
        <v>0</v>
      </c>
      <c r="H6" s="23"/>
      <c r="I6" s="23">
        <v>1</v>
      </c>
      <c r="J6" s="25">
        <v>1</v>
      </c>
      <c r="K6" s="23">
        <v>0</v>
      </c>
      <c r="L6" s="23"/>
      <c r="M6" s="23">
        <v>0</v>
      </c>
      <c r="N6" s="23">
        <v>40</v>
      </c>
      <c r="O6" s="23">
        <v>40</v>
      </c>
    </row>
    <row r="7" spans="1:15">
      <c r="A7" s="23">
        <v>3</v>
      </c>
      <c r="B7" s="23">
        <v>4</v>
      </c>
      <c r="C7" s="23">
        <v>1</v>
      </c>
      <c r="D7" s="23"/>
      <c r="E7" s="23">
        <v>0</v>
      </c>
      <c r="F7" s="25">
        <v>0</v>
      </c>
      <c r="G7" s="23">
        <v>0</v>
      </c>
      <c r="H7" s="23"/>
      <c r="I7" s="23">
        <v>0</v>
      </c>
      <c r="J7" s="25">
        <v>15</v>
      </c>
      <c r="K7" s="23">
        <v>15</v>
      </c>
      <c r="L7" s="23"/>
      <c r="M7" s="23">
        <v>35</v>
      </c>
      <c r="N7" s="23">
        <v>45</v>
      </c>
      <c r="O7" s="23">
        <v>10</v>
      </c>
    </row>
    <row r="8" spans="1:15">
      <c r="A8" s="23">
        <v>12</v>
      </c>
      <c r="B8" s="23">
        <v>28</v>
      </c>
      <c r="C8" s="23">
        <v>16</v>
      </c>
      <c r="D8" s="23"/>
      <c r="E8" s="23">
        <v>19</v>
      </c>
      <c r="F8" s="25">
        <v>35</v>
      </c>
      <c r="G8" s="23">
        <v>16</v>
      </c>
      <c r="H8" s="23"/>
      <c r="I8" s="23">
        <v>40</v>
      </c>
      <c r="J8" s="25">
        <v>50</v>
      </c>
      <c r="K8" s="23">
        <v>10</v>
      </c>
      <c r="L8" s="23"/>
      <c r="M8" s="23">
        <v>50</v>
      </c>
      <c r="N8" s="23">
        <v>65</v>
      </c>
      <c r="O8" s="23">
        <v>15</v>
      </c>
    </row>
    <row r="9" spans="1:15">
      <c r="A9" s="23">
        <v>6</v>
      </c>
      <c r="B9" s="23">
        <v>8</v>
      </c>
      <c r="C9" s="23">
        <v>2</v>
      </c>
      <c r="D9" s="23"/>
      <c r="E9" s="23">
        <v>0</v>
      </c>
      <c r="F9" s="25">
        <v>0</v>
      </c>
      <c r="G9" s="23">
        <v>0</v>
      </c>
      <c r="H9" s="23"/>
      <c r="I9" s="23">
        <v>0</v>
      </c>
      <c r="J9" s="25"/>
      <c r="K9" s="23">
        <v>0</v>
      </c>
      <c r="L9" s="23"/>
      <c r="M9" s="23">
        <v>75</v>
      </c>
      <c r="N9" s="23">
        <v>80</v>
      </c>
      <c r="O9" s="23">
        <v>5</v>
      </c>
    </row>
    <row r="10" spans="1:15">
      <c r="A10" s="23">
        <v>5</v>
      </c>
      <c r="B10" s="23">
        <v>22</v>
      </c>
      <c r="C10" s="23">
        <v>17</v>
      </c>
      <c r="D10" s="23"/>
      <c r="E10" s="23">
        <v>0</v>
      </c>
      <c r="F10" s="25">
        <v>6</v>
      </c>
      <c r="G10" s="23">
        <v>6</v>
      </c>
      <c r="H10" s="23"/>
      <c r="I10" s="23">
        <v>0</v>
      </c>
      <c r="J10" s="25">
        <v>16</v>
      </c>
      <c r="K10" s="23">
        <v>16</v>
      </c>
      <c r="L10" s="23"/>
      <c r="M10" s="23">
        <v>45</v>
      </c>
      <c r="N10" s="23">
        <v>70</v>
      </c>
      <c r="O10" s="23">
        <v>25</v>
      </c>
    </row>
    <row r="11" spans="1:15">
      <c r="A11" s="23">
        <v>12</v>
      </c>
      <c r="B11" s="23">
        <v>12</v>
      </c>
      <c r="C11" s="23">
        <v>0</v>
      </c>
      <c r="D11" s="23"/>
      <c r="E11" s="23">
        <v>0</v>
      </c>
      <c r="F11" s="25">
        <v>2</v>
      </c>
      <c r="G11" s="23">
        <v>2</v>
      </c>
      <c r="H11" s="23"/>
      <c r="I11" s="23">
        <v>0</v>
      </c>
      <c r="J11" s="25">
        <v>3</v>
      </c>
      <c r="K11" s="23">
        <v>3</v>
      </c>
      <c r="L11" s="23"/>
      <c r="M11" s="23">
        <v>45</v>
      </c>
      <c r="N11" s="23">
        <v>55</v>
      </c>
      <c r="O11" s="23">
        <v>10</v>
      </c>
    </row>
    <row r="12" spans="1:15">
      <c r="A12" s="23">
        <v>4</v>
      </c>
      <c r="B12" s="23">
        <v>4</v>
      </c>
      <c r="C12" s="23">
        <v>0</v>
      </c>
      <c r="D12" s="23"/>
      <c r="E12" s="23">
        <v>0</v>
      </c>
      <c r="F12" s="25">
        <v>5</v>
      </c>
      <c r="G12" s="23">
        <v>5</v>
      </c>
      <c r="H12" s="23"/>
      <c r="I12" s="23">
        <v>0</v>
      </c>
      <c r="J12" s="25">
        <v>0</v>
      </c>
      <c r="K12" s="23">
        <v>0</v>
      </c>
      <c r="L12" s="23"/>
      <c r="M12" s="23">
        <v>25</v>
      </c>
      <c r="N12" s="23">
        <v>45</v>
      </c>
      <c r="O12" s="23">
        <v>20</v>
      </c>
    </row>
    <row r="13" spans="1:15">
      <c r="A13" s="23">
        <v>0</v>
      </c>
      <c r="B13" s="23">
        <v>6</v>
      </c>
      <c r="C13" s="23">
        <v>6</v>
      </c>
      <c r="D13" s="23"/>
      <c r="E13" s="23">
        <v>0</v>
      </c>
      <c r="F13" s="25">
        <v>5</v>
      </c>
      <c r="G13" s="23">
        <v>5</v>
      </c>
      <c r="H13" s="23"/>
      <c r="I13" s="23">
        <v>0</v>
      </c>
      <c r="J13" s="25">
        <v>10</v>
      </c>
      <c r="K13" s="23">
        <v>10</v>
      </c>
      <c r="L13" s="23"/>
      <c r="M13" s="23">
        <v>30</v>
      </c>
      <c r="N13" s="23">
        <v>55</v>
      </c>
      <c r="O13" s="23">
        <v>25</v>
      </c>
    </row>
    <row r="14" spans="1:15">
      <c r="A14" s="30">
        <v>5</v>
      </c>
      <c r="B14" s="30">
        <v>10</v>
      </c>
      <c r="C14" s="23">
        <v>5</v>
      </c>
      <c r="D14" s="30"/>
      <c r="E14" s="30">
        <v>0</v>
      </c>
      <c r="F14" s="30">
        <v>3</v>
      </c>
      <c r="G14" s="23">
        <v>3</v>
      </c>
      <c r="H14" s="30"/>
      <c r="I14" s="30">
        <v>4</v>
      </c>
      <c r="J14" s="30">
        <v>4</v>
      </c>
      <c r="K14" s="23">
        <v>0</v>
      </c>
      <c r="L14" s="30"/>
      <c r="M14" s="30">
        <v>30</v>
      </c>
      <c r="N14" s="30">
        <v>30</v>
      </c>
      <c r="O14" s="23">
        <v>0</v>
      </c>
    </row>
    <row r="15" spans="1:15">
      <c r="A15" s="30">
        <v>9</v>
      </c>
      <c r="B15" s="30">
        <v>22</v>
      </c>
      <c r="C15" s="23">
        <v>13</v>
      </c>
      <c r="D15" s="30"/>
      <c r="E15" s="30">
        <v>0</v>
      </c>
      <c r="F15" s="30">
        <v>1</v>
      </c>
      <c r="G15" s="23">
        <v>1</v>
      </c>
      <c r="H15" s="30"/>
      <c r="I15" s="30">
        <v>0</v>
      </c>
      <c r="J15" s="30">
        <v>2</v>
      </c>
      <c r="K15" s="23">
        <v>2</v>
      </c>
      <c r="L15" s="30"/>
      <c r="M15" s="30">
        <v>55</v>
      </c>
      <c r="N15" s="30">
        <v>70</v>
      </c>
      <c r="O15" s="23">
        <v>15</v>
      </c>
    </row>
    <row r="16" spans="1:15">
      <c r="A16" s="23">
        <v>6</v>
      </c>
      <c r="B16" s="23">
        <v>8</v>
      </c>
      <c r="C16" s="23">
        <v>2</v>
      </c>
      <c r="D16" s="23"/>
      <c r="E16" s="23">
        <v>0</v>
      </c>
      <c r="F16" s="25">
        <v>0</v>
      </c>
      <c r="G16" s="23">
        <v>0</v>
      </c>
      <c r="H16" s="23"/>
      <c r="I16" s="23">
        <v>0</v>
      </c>
      <c r="J16" s="25">
        <v>0</v>
      </c>
      <c r="K16" s="23">
        <v>0</v>
      </c>
      <c r="L16" s="23"/>
      <c r="M16" s="23">
        <v>20</v>
      </c>
      <c r="N16" s="23">
        <v>45</v>
      </c>
      <c r="O16" s="23">
        <v>25</v>
      </c>
    </row>
    <row r="17" spans="1:15">
      <c r="A17" s="23">
        <v>14</v>
      </c>
      <c r="B17" s="23">
        <v>15</v>
      </c>
      <c r="C17" s="23">
        <v>1</v>
      </c>
      <c r="D17" s="23"/>
      <c r="E17" s="23">
        <v>4</v>
      </c>
      <c r="F17" s="25">
        <v>5</v>
      </c>
      <c r="G17" s="23">
        <v>1</v>
      </c>
      <c r="H17" s="23"/>
      <c r="I17" s="23">
        <v>6</v>
      </c>
      <c r="J17" s="25">
        <v>10</v>
      </c>
      <c r="K17" s="23">
        <v>4</v>
      </c>
      <c r="L17" s="23"/>
      <c r="M17" s="23">
        <v>50</v>
      </c>
      <c r="N17" s="23">
        <v>55</v>
      </c>
      <c r="O17" s="23">
        <v>5</v>
      </c>
    </row>
    <row r="18" spans="1:15">
      <c r="A18" s="23">
        <v>15</v>
      </c>
      <c r="B18" s="23">
        <v>16</v>
      </c>
      <c r="C18" s="23">
        <v>1</v>
      </c>
      <c r="D18" s="23"/>
      <c r="E18" s="23">
        <v>1</v>
      </c>
      <c r="F18" s="25">
        <v>3</v>
      </c>
      <c r="G18" s="23">
        <v>2</v>
      </c>
      <c r="H18" s="23"/>
      <c r="I18" s="23">
        <v>5</v>
      </c>
      <c r="J18" s="25">
        <v>12</v>
      </c>
      <c r="K18" s="23">
        <v>7</v>
      </c>
      <c r="L18" s="23"/>
      <c r="M18" s="23">
        <v>50</v>
      </c>
      <c r="N18" s="23">
        <v>70</v>
      </c>
      <c r="O18" s="23">
        <v>20</v>
      </c>
    </row>
    <row r="19" spans="1:15">
      <c r="A19" s="23">
        <v>8</v>
      </c>
      <c r="B19" s="23">
        <v>8</v>
      </c>
      <c r="C19" s="23">
        <v>0</v>
      </c>
      <c r="D19" s="23"/>
      <c r="E19" s="23">
        <v>0</v>
      </c>
      <c r="F19" s="25">
        <v>0</v>
      </c>
      <c r="G19" s="23">
        <v>0</v>
      </c>
      <c r="H19" s="23"/>
      <c r="I19" s="23">
        <v>0</v>
      </c>
      <c r="J19" s="25">
        <v>0</v>
      </c>
      <c r="K19" s="23">
        <v>0</v>
      </c>
      <c r="L19" s="23"/>
      <c r="M19" s="23">
        <v>65</v>
      </c>
      <c r="N19" s="23">
        <v>70</v>
      </c>
      <c r="O19" s="23">
        <v>5</v>
      </c>
    </row>
    <row r="20" spans="1:15">
      <c r="A20" s="23">
        <v>0</v>
      </c>
      <c r="B20" s="23">
        <v>28</v>
      </c>
      <c r="C20" s="23">
        <v>28</v>
      </c>
      <c r="D20" s="23"/>
      <c r="E20" s="23">
        <v>0</v>
      </c>
      <c r="F20" s="25">
        <v>21</v>
      </c>
      <c r="G20" s="23">
        <v>21</v>
      </c>
      <c r="H20" s="23"/>
      <c r="I20" s="23">
        <v>0</v>
      </c>
      <c r="J20" s="25">
        <v>22</v>
      </c>
      <c r="K20" s="23">
        <v>22</v>
      </c>
      <c r="L20" s="23"/>
      <c r="M20" s="23">
        <v>30</v>
      </c>
      <c r="N20" s="23">
        <v>80</v>
      </c>
      <c r="O20" s="23">
        <v>50</v>
      </c>
    </row>
    <row r="21" spans="1:15">
      <c r="A21" s="23">
        <v>0</v>
      </c>
      <c r="B21" s="23">
        <v>14</v>
      </c>
      <c r="C21" s="23">
        <v>14</v>
      </c>
      <c r="D21" s="23"/>
      <c r="E21" s="23">
        <v>0</v>
      </c>
      <c r="F21" s="25">
        <v>2</v>
      </c>
      <c r="G21" s="23">
        <v>2</v>
      </c>
      <c r="H21" s="23"/>
      <c r="I21" s="23">
        <v>0</v>
      </c>
      <c r="J21" s="25">
        <v>3</v>
      </c>
      <c r="K21" s="23">
        <v>3</v>
      </c>
      <c r="L21" s="23"/>
      <c r="M21" s="23">
        <v>40</v>
      </c>
      <c r="N21" s="23">
        <v>50</v>
      </c>
      <c r="O21" s="23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R20" sqref="R20"/>
    </sheetView>
  </sheetViews>
  <sheetFormatPr defaultColWidth="8.88888888888889" defaultRowHeight="14.4"/>
  <sheetData>
    <row r="1" spans="1:15">
      <c r="A1" s="23" t="s">
        <v>7</v>
      </c>
      <c r="B1" s="23" t="s">
        <v>8</v>
      </c>
      <c r="C1" s="23" t="s">
        <v>9</v>
      </c>
      <c r="D1" s="23"/>
      <c r="E1" s="23" t="s">
        <v>10</v>
      </c>
      <c r="F1" s="25" t="s">
        <v>11</v>
      </c>
      <c r="G1" s="23" t="s">
        <v>12</v>
      </c>
      <c r="H1" s="23"/>
      <c r="I1" s="23" t="s">
        <v>13</v>
      </c>
      <c r="J1" s="25" t="s">
        <v>14</v>
      </c>
      <c r="K1" s="23" t="s">
        <v>15</v>
      </c>
      <c r="L1" s="23"/>
      <c r="M1" s="23" t="s">
        <v>16</v>
      </c>
      <c r="N1" s="23" t="s">
        <v>17</v>
      </c>
      <c r="O1" s="23" t="s">
        <v>18</v>
      </c>
    </row>
    <row r="2" spans="1:15">
      <c r="A2" s="23">
        <v>6</v>
      </c>
      <c r="B2" s="23">
        <v>7</v>
      </c>
      <c r="C2" s="23">
        <v>1</v>
      </c>
      <c r="D2" s="23"/>
      <c r="E2" s="23">
        <v>2</v>
      </c>
      <c r="F2" s="25">
        <v>6</v>
      </c>
      <c r="G2" s="23">
        <v>4</v>
      </c>
      <c r="H2" s="23"/>
      <c r="I2" s="23">
        <v>0</v>
      </c>
      <c r="J2" s="25">
        <v>5</v>
      </c>
      <c r="K2" s="23">
        <v>5</v>
      </c>
      <c r="L2" s="23"/>
      <c r="M2" s="23">
        <v>45</v>
      </c>
      <c r="N2" s="23">
        <v>50</v>
      </c>
      <c r="O2" s="23">
        <v>5</v>
      </c>
    </row>
    <row r="3" spans="1:15">
      <c r="A3" s="23">
        <v>11</v>
      </c>
      <c r="B3" s="23">
        <v>12</v>
      </c>
      <c r="C3" s="23">
        <v>1</v>
      </c>
      <c r="D3" s="23"/>
      <c r="E3" s="23">
        <v>2</v>
      </c>
      <c r="F3" s="25">
        <v>2</v>
      </c>
      <c r="G3" s="23">
        <v>0</v>
      </c>
      <c r="H3" s="23"/>
      <c r="I3" s="23">
        <v>0</v>
      </c>
      <c r="J3" s="25">
        <v>0</v>
      </c>
      <c r="K3" s="23">
        <v>0</v>
      </c>
      <c r="L3" s="23"/>
      <c r="M3" s="23">
        <v>40</v>
      </c>
      <c r="N3" s="23">
        <v>40</v>
      </c>
      <c r="O3" s="23">
        <v>0</v>
      </c>
    </row>
    <row r="4" spans="1:15">
      <c r="A4" s="23">
        <v>3</v>
      </c>
      <c r="B4" s="23">
        <v>8</v>
      </c>
      <c r="C4" s="23">
        <v>5</v>
      </c>
      <c r="D4" s="23"/>
      <c r="E4" s="23">
        <v>0</v>
      </c>
      <c r="F4" s="25">
        <v>0</v>
      </c>
      <c r="G4" s="23">
        <v>0</v>
      </c>
      <c r="H4" s="23"/>
      <c r="I4" s="23">
        <v>0</v>
      </c>
      <c r="J4" s="25">
        <v>0</v>
      </c>
      <c r="K4" s="23">
        <v>0</v>
      </c>
      <c r="L4" s="23"/>
      <c r="M4" s="23">
        <v>35</v>
      </c>
      <c r="N4" s="23">
        <v>40</v>
      </c>
      <c r="O4" s="23">
        <v>5</v>
      </c>
    </row>
    <row r="5" spans="1:15">
      <c r="A5" s="23">
        <v>4</v>
      </c>
      <c r="B5" s="23">
        <v>4</v>
      </c>
      <c r="C5" s="23">
        <v>0</v>
      </c>
      <c r="D5" s="23"/>
      <c r="E5" s="23">
        <v>0</v>
      </c>
      <c r="F5" s="25">
        <v>0</v>
      </c>
      <c r="G5" s="23">
        <v>0</v>
      </c>
      <c r="H5" s="23"/>
      <c r="I5" s="23">
        <v>0</v>
      </c>
      <c r="J5" s="25">
        <v>0</v>
      </c>
      <c r="K5" s="23">
        <v>0</v>
      </c>
      <c r="L5" s="23"/>
      <c r="M5" s="23">
        <v>45</v>
      </c>
      <c r="N5" s="23">
        <v>55</v>
      </c>
      <c r="O5" s="23">
        <v>10</v>
      </c>
    </row>
    <row r="6" spans="1:15">
      <c r="A6" s="23">
        <v>12</v>
      </c>
      <c r="B6" s="23">
        <v>13</v>
      </c>
      <c r="C6" s="23">
        <v>1</v>
      </c>
      <c r="D6" s="23"/>
      <c r="E6" s="23">
        <v>12</v>
      </c>
      <c r="F6" s="25">
        <v>18</v>
      </c>
      <c r="G6" s="23">
        <v>6</v>
      </c>
      <c r="H6" s="23"/>
      <c r="I6" s="23">
        <v>18</v>
      </c>
      <c r="J6" s="25">
        <v>25</v>
      </c>
      <c r="K6" s="23">
        <v>7</v>
      </c>
      <c r="L6" s="23"/>
      <c r="M6" s="23">
        <v>45</v>
      </c>
      <c r="N6" s="23">
        <v>55</v>
      </c>
      <c r="O6" s="23">
        <v>10</v>
      </c>
    </row>
    <row r="7" spans="1:15">
      <c r="A7" s="23">
        <v>18</v>
      </c>
      <c r="B7" s="23">
        <v>36</v>
      </c>
      <c r="C7" s="23">
        <v>18</v>
      </c>
      <c r="D7" s="23"/>
      <c r="E7" s="23">
        <v>16</v>
      </c>
      <c r="F7" s="25">
        <v>32</v>
      </c>
      <c r="G7" s="23">
        <v>16</v>
      </c>
      <c r="H7" s="23"/>
      <c r="I7" s="23">
        <v>30</v>
      </c>
      <c r="J7" s="25">
        <v>57</v>
      </c>
      <c r="K7" s="23">
        <v>27</v>
      </c>
      <c r="L7" s="23"/>
      <c r="M7" s="23">
        <v>45</v>
      </c>
      <c r="N7" s="23">
        <v>100</v>
      </c>
      <c r="O7" s="23">
        <v>55</v>
      </c>
    </row>
    <row r="8" spans="1:15">
      <c r="A8" s="23">
        <v>16</v>
      </c>
      <c r="B8" s="23">
        <v>20</v>
      </c>
      <c r="C8" s="23">
        <v>4</v>
      </c>
      <c r="D8" s="23"/>
      <c r="E8" s="23">
        <v>10</v>
      </c>
      <c r="F8" s="25">
        <v>10</v>
      </c>
      <c r="G8" s="23">
        <v>0</v>
      </c>
      <c r="H8" s="23"/>
      <c r="I8" s="23">
        <v>10</v>
      </c>
      <c r="J8" s="25">
        <v>20</v>
      </c>
      <c r="K8" s="23">
        <v>10</v>
      </c>
      <c r="L8" s="23"/>
      <c r="M8" s="23">
        <v>50</v>
      </c>
      <c r="N8" s="23">
        <v>55</v>
      </c>
      <c r="O8" s="23">
        <v>5</v>
      </c>
    </row>
    <row r="9" spans="1:15">
      <c r="A9" s="23">
        <v>5</v>
      </c>
      <c r="B9" s="23">
        <v>5</v>
      </c>
      <c r="C9" s="23">
        <v>0</v>
      </c>
      <c r="D9" s="23"/>
      <c r="E9" s="23">
        <v>0</v>
      </c>
      <c r="F9" s="25">
        <v>0</v>
      </c>
      <c r="G9" s="23">
        <v>0</v>
      </c>
      <c r="H9" s="23"/>
      <c r="I9" s="23">
        <v>0</v>
      </c>
      <c r="J9" s="25">
        <v>0</v>
      </c>
      <c r="K9" s="23">
        <v>0</v>
      </c>
      <c r="L9" s="23"/>
      <c r="M9" s="23">
        <v>20</v>
      </c>
      <c r="N9" s="23">
        <v>30</v>
      </c>
      <c r="O9" s="23">
        <v>10</v>
      </c>
    </row>
    <row r="10" spans="1:15">
      <c r="A10" s="23">
        <v>20</v>
      </c>
      <c r="B10" s="23">
        <v>28</v>
      </c>
      <c r="C10" s="23">
        <v>8</v>
      </c>
      <c r="D10" s="23"/>
      <c r="E10" s="23">
        <v>17</v>
      </c>
      <c r="F10" s="25">
        <v>13</v>
      </c>
      <c r="G10" s="23">
        <v>-4</v>
      </c>
      <c r="H10" s="23"/>
      <c r="I10" s="23">
        <v>15</v>
      </c>
      <c r="J10" s="25">
        <v>30</v>
      </c>
      <c r="K10" s="23">
        <v>15</v>
      </c>
      <c r="L10" s="23"/>
      <c r="M10" s="23">
        <v>50</v>
      </c>
      <c r="N10" s="23">
        <v>55</v>
      </c>
      <c r="O10" s="23">
        <v>5</v>
      </c>
    </row>
    <row r="11" spans="1:15">
      <c r="A11" s="23">
        <v>5</v>
      </c>
      <c r="B11" s="23">
        <v>10</v>
      </c>
      <c r="C11" s="23">
        <v>5</v>
      </c>
      <c r="D11" s="23"/>
      <c r="E11" s="23">
        <v>0</v>
      </c>
      <c r="F11" s="25">
        <v>0</v>
      </c>
      <c r="G11" s="23">
        <v>0</v>
      </c>
      <c r="H11" s="23"/>
      <c r="I11" s="23">
        <v>0</v>
      </c>
      <c r="J11" s="25">
        <v>0</v>
      </c>
      <c r="K11" s="23">
        <v>0</v>
      </c>
      <c r="L11" s="23"/>
      <c r="M11" s="23">
        <v>50</v>
      </c>
      <c r="N11" s="23">
        <v>55</v>
      </c>
      <c r="O11" s="23">
        <v>5</v>
      </c>
    </row>
    <row r="12" spans="1:15">
      <c r="A12" s="23">
        <v>4</v>
      </c>
      <c r="B12" s="23">
        <v>8</v>
      </c>
      <c r="C12" s="23">
        <v>4</v>
      </c>
      <c r="D12" s="23"/>
      <c r="E12" s="23">
        <v>1</v>
      </c>
      <c r="F12" s="25">
        <v>7</v>
      </c>
      <c r="G12" s="23">
        <v>6</v>
      </c>
      <c r="H12" s="23"/>
      <c r="I12" s="23">
        <v>2</v>
      </c>
      <c r="J12" s="25">
        <v>9</v>
      </c>
      <c r="K12" s="23">
        <v>7</v>
      </c>
      <c r="L12" s="23"/>
      <c r="M12" s="23">
        <v>45</v>
      </c>
      <c r="N12" s="23">
        <v>60</v>
      </c>
      <c r="O12" s="23">
        <v>15</v>
      </c>
    </row>
    <row r="13" spans="1:15">
      <c r="A13" s="23">
        <v>0</v>
      </c>
      <c r="B13" s="23">
        <v>5</v>
      </c>
      <c r="C13" s="23">
        <v>5</v>
      </c>
      <c r="D13" s="23"/>
      <c r="E13" s="23">
        <v>2</v>
      </c>
      <c r="F13" s="25">
        <v>2</v>
      </c>
      <c r="G13" s="23">
        <v>0</v>
      </c>
      <c r="H13" s="23"/>
      <c r="I13" s="23">
        <v>0</v>
      </c>
      <c r="J13" s="25">
        <v>0</v>
      </c>
      <c r="K13" s="23">
        <v>0</v>
      </c>
      <c r="L13" s="23"/>
      <c r="M13" s="23">
        <v>55</v>
      </c>
      <c r="N13" s="23">
        <v>60</v>
      </c>
      <c r="O13" s="23">
        <v>5</v>
      </c>
    </row>
    <row r="14" spans="1:15">
      <c r="A14" s="23">
        <v>8</v>
      </c>
      <c r="B14" s="23">
        <v>1</v>
      </c>
      <c r="C14" s="23">
        <v>-7</v>
      </c>
      <c r="D14" s="23"/>
      <c r="E14" s="23">
        <v>0</v>
      </c>
      <c r="F14" s="25">
        <v>6</v>
      </c>
      <c r="G14" s="23">
        <v>6</v>
      </c>
      <c r="H14" s="23"/>
      <c r="I14" s="23">
        <v>0</v>
      </c>
      <c r="J14" s="25">
        <v>4</v>
      </c>
      <c r="K14" s="23">
        <v>4</v>
      </c>
      <c r="L14" s="23"/>
      <c r="M14" s="23">
        <v>50</v>
      </c>
      <c r="N14" s="23">
        <v>75</v>
      </c>
      <c r="O14" s="23">
        <v>25</v>
      </c>
    </row>
    <row r="15" spans="1:15">
      <c r="A15" s="23">
        <v>12</v>
      </c>
      <c r="B15" s="23">
        <v>16</v>
      </c>
      <c r="C15" s="23">
        <v>4</v>
      </c>
      <c r="D15" s="23"/>
      <c r="E15" s="23">
        <v>0</v>
      </c>
      <c r="F15" s="25">
        <v>1</v>
      </c>
      <c r="G15" s="23">
        <v>1</v>
      </c>
      <c r="H15" s="23"/>
      <c r="I15" s="23">
        <v>0</v>
      </c>
      <c r="J15" s="25">
        <v>2</v>
      </c>
      <c r="K15" s="23">
        <v>2</v>
      </c>
      <c r="L15" s="23"/>
      <c r="M15" s="23">
        <v>45</v>
      </c>
      <c r="N15" s="23">
        <v>55</v>
      </c>
      <c r="O15" s="23">
        <v>10</v>
      </c>
    </row>
    <row r="16" spans="1:15">
      <c r="A16" s="23">
        <v>0</v>
      </c>
      <c r="B16" s="23">
        <v>15</v>
      </c>
      <c r="C16" s="23">
        <v>15</v>
      </c>
      <c r="D16" s="23"/>
      <c r="E16" s="23">
        <v>0</v>
      </c>
      <c r="F16" s="25">
        <v>2</v>
      </c>
      <c r="G16" s="23">
        <v>2</v>
      </c>
      <c r="H16" s="23"/>
      <c r="I16" s="23">
        <v>0</v>
      </c>
      <c r="J16" s="25">
        <v>6</v>
      </c>
      <c r="K16" s="23">
        <v>6</v>
      </c>
      <c r="L16" s="23"/>
      <c r="M16" s="23">
        <v>45</v>
      </c>
      <c r="N16" s="23">
        <v>55</v>
      </c>
      <c r="O16" s="23">
        <v>10</v>
      </c>
    </row>
    <row r="17" spans="1:15">
      <c r="A17" s="23">
        <v>16</v>
      </c>
      <c r="B17" s="23">
        <v>16</v>
      </c>
      <c r="C17" s="23">
        <v>0</v>
      </c>
      <c r="D17" s="23"/>
      <c r="E17" s="23">
        <v>0</v>
      </c>
      <c r="F17" s="25">
        <v>1</v>
      </c>
      <c r="G17" s="23">
        <v>1</v>
      </c>
      <c r="H17" s="23"/>
      <c r="I17" s="23">
        <v>0</v>
      </c>
      <c r="J17" s="25">
        <v>1</v>
      </c>
      <c r="K17" s="23">
        <v>1</v>
      </c>
      <c r="L17" s="23"/>
      <c r="M17" s="23">
        <v>55</v>
      </c>
      <c r="N17" s="23">
        <v>65</v>
      </c>
      <c r="O17" s="23">
        <v>10</v>
      </c>
    </row>
    <row r="18" spans="1:15">
      <c r="A18" s="23">
        <v>6</v>
      </c>
      <c r="B18" s="23">
        <v>14</v>
      </c>
      <c r="C18" s="23">
        <v>8</v>
      </c>
      <c r="D18" s="23"/>
      <c r="E18" s="23">
        <v>0</v>
      </c>
      <c r="F18" s="25">
        <v>4</v>
      </c>
      <c r="G18" s="23">
        <v>4</v>
      </c>
      <c r="H18" s="23"/>
      <c r="I18" s="23">
        <v>1</v>
      </c>
      <c r="J18" s="25">
        <v>11</v>
      </c>
      <c r="K18" s="23">
        <v>10</v>
      </c>
      <c r="L18" s="23"/>
      <c r="M18" s="23">
        <v>10</v>
      </c>
      <c r="N18" s="23">
        <v>15</v>
      </c>
      <c r="O18" s="23">
        <v>5</v>
      </c>
    </row>
    <row r="19" spans="1:15">
      <c r="A19" s="23">
        <v>0</v>
      </c>
      <c r="B19" s="23">
        <v>26</v>
      </c>
      <c r="C19" s="23">
        <v>26</v>
      </c>
      <c r="D19" s="23"/>
      <c r="E19" s="23">
        <v>0</v>
      </c>
      <c r="F19" s="25">
        <v>16</v>
      </c>
      <c r="G19" s="23">
        <v>16</v>
      </c>
      <c r="H19" s="23"/>
      <c r="I19" s="23">
        <v>0</v>
      </c>
      <c r="J19" s="25">
        <v>28</v>
      </c>
      <c r="K19" s="23">
        <v>28</v>
      </c>
      <c r="L19" s="23"/>
      <c r="M19" s="23">
        <v>50</v>
      </c>
      <c r="N19" s="23">
        <v>70</v>
      </c>
      <c r="O19" s="23">
        <v>20</v>
      </c>
    </row>
    <row r="20" spans="1:15">
      <c r="A20" s="23">
        <v>20</v>
      </c>
      <c r="B20" s="23">
        <v>20</v>
      </c>
      <c r="C20" s="23">
        <v>0</v>
      </c>
      <c r="D20" s="23"/>
      <c r="E20" s="23">
        <v>1</v>
      </c>
      <c r="F20" s="25">
        <v>4</v>
      </c>
      <c r="G20" s="23">
        <v>3</v>
      </c>
      <c r="H20" s="23"/>
      <c r="I20" s="23">
        <v>2</v>
      </c>
      <c r="J20" s="25">
        <v>10</v>
      </c>
      <c r="K20" s="23">
        <v>8</v>
      </c>
      <c r="L20" s="23"/>
      <c r="M20" s="23">
        <v>55</v>
      </c>
      <c r="N20" s="23">
        <v>65</v>
      </c>
      <c r="O20" s="23">
        <v>10</v>
      </c>
    </row>
    <row r="21" spans="1:15">
      <c r="A21" s="23">
        <v>17</v>
      </c>
      <c r="B21" s="23">
        <v>33</v>
      </c>
      <c r="C21" s="23">
        <v>16</v>
      </c>
      <c r="D21" s="23"/>
      <c r="E21" s="23">
        <v>2</v>
      </c>
      <c r="F21" s="25">
        <v>13</v>
      </c>
      <c r="G21" s="23">
        <v>11</v>
      </c>
      <c r="H21" s="23"/>
      <c r="I21" s="23">
        <v>15</v>
      </c>
      <c r="J21" s="25">
        <v>37</v>
      </c>
      <c r="K21" s="23">
        <v>22</v>
      </c>
      <c r="L21" s="23"/>
      <c r="M21" s="23">
        <v>55</v>
      </c>
      <c r="N21" s="23">
        <v>75</v>
      </c>
      <c r="O21" s="23">
        <v>20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L19" sqref="L19"/>
    </sheetView>
  </sheetViews>
  <sheetFormatPr defaultColWidth="8.88888888888889" defaultRowHeight="14.4"/>
  <sheetData>
    <row r="1" spans="1:15">
      <c r="A1" s="23" t="s">
        <v>7</v>
      </c>
      <c r="B1" s="23" t="s">
        <v>8</v>
      </c>
      <c r="C1" s="23" t="s">
        <v>9</v>
      </c>
      <c r="D1" s="23"/>
      <c r="E1" s="23" t="s">
        <v>10</v>
      </c>
      <c r="F1" s="25" t="s">
        <v>11</v>
      </c>
      <c r="G1" s="23" t="s">
        <v>12</v>
      </c>
      <c r="H1" s="23"/>
      <c r="I1" s="23" t="s">
        <v>13</v>
      </c>
      <c r="J1" s="25" t="s">
        <v>14</v>
      </c>
      <c r="K1" s="23" t="s">
        <v>15</v>
      </c>
      <c r="L1" s="23"/>
      <c r="M1" s="23" t="s">
        <v>16</v>
      </c>
      <c r="N1" s="23" t="s">
        <v>17</v>
      </c>
      <c r="O1" s="23" t="s">
        <v>18</v>
      </c>
    </row>
    <row r="2" spans="1:15">
      <c r="A2" s="23">
        <v>9</v>
      </c>
      <c r="B2" s="23">
        <v>10</v>
      </c>
      <c r="C2" s="23">
        <v>1</v>
      </c>
      <c r="D2" s="23"/>
      <c r="E2" s="23">
        <v>0</v>
      </c>
      <c r="F2" s="25">
        <v>4</v>
      </c>
      <c r="G2" s="23">
        <v>4</v>
      </c>
      <c r="H2" s="23"/>
      <c r="I2" s="23">
        <v>1</v>
      </c>
      <c r="J2" s="25">
        <v>3</v>
      </c>
      <c r="K2" s="23">
        <v>2</v>
      </c>
      <c r="L2" s="23"/>
      <c r="M2" s="23">
        <v>40</v>
      </c>
      <c r="N2" s="23">
        <v>65</v>
      </c>
      <c r="O2" s="23">
        <v>25</v>
      </c>
    </row>
    <row r="3" spans="1:15">
      <c r="A3" s="30">
        <v>28</v>
      </c>
      <c r="B3" s="30">
        <v>28</v>
      </c>
      <c r="C3" s="23">
        <v>0</v>
      </c>
      <c r="D3" s="30"/>
      <c r="E3" s="30">
        <v>17</v>
      </c>
      <c r="F3" s="30">
        <v>27</v>
      </c>
      <c r="G3" s="23">
        <v>10</v>
      </c>
      <c r="H3" s="30"/>
      <c r="I3" s="30">
        <v>30</v>
      </c>
      <c r="J3" s="30">
        <v>48</v>
      </c>
      <c r="K3" s="23">
        <v>18</v>
      </c>
      <c r="L3" s="30"/>
      <c r="M3" s="30">
        <v>80</v>
      </c>
      <c r="N3" s="30">
        <v>85</v>
      </c>
      <c r="O3" s="23">
        <v>5</v>
      </c>
    </row>
    <row r="4" spans="1:15">
      <c r="A4" s="23">
        <v>20</v>
      </c>
      <c r="B4" s="23">
        <v>29</v>
      </c>
      <c r="C4" s="23">
        <v>9</v>
      </c>
      <c r="D4" s="23"/>
      <c r="E4" s="23">
        <v>24</v>
      </c>
      <c r="F4" s="25">
        <v>30</v>
      </c>
      <c r="G4" s="23">
        <v>6</v>
      </c>
      <c r="H4" s="23"/>
      <c r="I4" s="23">
        <v>44</v>
      </c>
      <c r="J4" s="25">
        <v>51</v>
      </c>
      <c r="K4" s="23">
        <v>7</v>
      </c>
      <c r="L4" s="23"/>
      <c r="M4" s="23">
        <v>70</v>
      </c>
      <c r="N4" s="23">
        <v>90</v>
      </c>
      <c r="O4" s="23">
        <v>20</v>
      </c>
    </row>
    <row r="5" spans="1:15">
      <c r="A5" s="23">
        <v>4</v>
      </c>
      <c r="B5" s="23">
        <v>6</v>
      </c>
      <c r="C5" s="23">
        <v>2</v>
      </c>
      <c r="D5" s="23"/>
      <c r="E5" s="23">
        <v>0</v>
      </c>
      <c r="F5" s="25">
        <v>0</v>
      </c>
      <c r="G5" s="23">
        <v>0</v>
      </c>
      <c r="H5" s="23"/>
      <c r="I5" s="23">
        <v>0</v>
      </c>
      <c r="J5" s="25">
        <v>0</v>
      </c>
      <c r="K5" s="23">
        <v>0</v>
      </c>
      <c r="L5" s="23"/>
      <c r="M5" s="23">
        <v>40</v>
      </c>
      <c r="N5" s="23">
        <v>55</v>
      </c>
      <c r="O5" s="23">
        <v>15</v>
      </c>
    </row>
    <row r="6" spans="1:15">
      <c r="A6" s="23">
        <v>22</v>
      </c>
      <c r="B6" s="23">
        <v>23</v>
      </c>
      <c r="C6" s="23">
        <v>1</v>
      </c>
      <c r="D6" s="23"/>
      <c r="E6" s="23">
        <v>1</v>
      </c>
      <c r="F6" s="25">
        <v>8</v>
      </c>
      <c r="G6" s="23">
        <v>7</v>
      </c>
      <c r="H6" s="23"/>
      <c r="I6" s="23">
        <v>4</v>
      </c>
      <c r="J6" s="25">
        <v>22</v>
      </c>
      <c r="K6" s="23">
        <v>18</v>
      </c>
      <c r="L6" s="23"/>
      <c r="M6" s="23">
        <v>55</v>
      </c>
      <c r="N6" s="23">
        <v>70</v>
      </c>
      <c r="O6" s="23">
        <v>15</v>
      </c>
    </row>
    <row r="7" spans="1:15">
      <c r="A7" s="23">
        <v>26</v>
      </c>
      <c r="B7" s="23">
        <v>20</v>
      </c>
      <c r="C7" s="23">
        <v>-6</v>
      </c>
      <c r="D7" s="23"/>
      <c r="E7" s="23">
        <v>20</v>
      </c>
      <c r="F7" s="25">
        <v>22</v>
      </c>
      <c r="G7" s="23">
        <v>2</v>
      </c>
      <c r="H7" s="23"/>
      <c r="I7" s="23">
        <v>30</v>
      </c>
      <c r="J7" s="25">
        <v>33</v>
      </c>
      <c r="K7" s="23">
        <v>3</v>
      </c>
      <c r="L7" s="23"/>
      <c r="M7" s="23">
        <v>30</v>
      </c>
      <c r="N7" s="23">
        <v>45</v>
      </c>
      <c r="O7" s="23">
        <v>15</v>
      </c>
    </row>
    <row r="8" spans="1:15">
      <c r="A8" s="23">
        <v>4</v>
      </c>
      <c r="B8" s="23">
        <v>6</v>
      </c>
      <c r="C8" s="23">
        <v>2</v>
      </c>
      <c r="D8" s="23"/>
      <c r="E8" s="23">
        <v>0</v>
      </c>
      <c r="F8" s="25">
        <v>0</v>
      </c>
      <c r="G8" s="23">
        <v>0</v>
      </c>
      <c r="H8" s="23"/>
      <c r="I8" s="23">
        <v>0</v>
      </c>
      <c r="J8" s="25">
        <v>0</v>
      </c>
      <c r="K8" s="23">
        <v>0</v>
      </c>
      <c r="L8" s="23"/>
      <c r="M8" s="23">
        <v>50</v>
      </c>
      <c r="N8" s="23">
        <v>55</v>
      </c>
      <c r="O8" s="23">
        <v>5</v>
      </c>
    </row>
    <row r="9" spans="1:15">
      <c r="A9" s="23">
        <v>4</v>
      </c>
      <c r="B9" s="23">
        <v>28</v>
      </c>
      <c r="C9" s="23">
        <v>24</v>
      </c>
      <c r="D9" s="23"/>
      <c r="E9" s="23">
        <v>0</v>
      </c>
      <c r="F9" s="25">
        <v>16</v>
      </c>
      <c r="G9" s="23">
        <v>16</v>
      </c>
      <c r="H9" s="23"/>
      <c r="I9" s="23">
        <v>0</v>
      </c>
      <c r="J9" s="25">
        <v>22</v>
      </c>
      <c r="K9" s="23">
        <v>22</v>
      </c>
      <c r="L9" s="23"/>
      <c r="M9" s="23">
        <v>40</v>
      </c>
      <c r="N9" s="23">
        <v>75</v>
      </c>
      <c r="O9" s="23">
        <v>35</v>
      </c>
    </row>
    <row r="10" spans="1:15">
      <c r="A10" s="23">
        <v>12</v>
      </c>
      <c r="B10" s="23">
        <v>28</v>
      </c>
      <c r="C10" s="23">
        <v>16</v>
      </c>
      <c r="D10" s="23"/>
      <c r="E10" s="23">
        <v>0</v>
      </c>
      <c r="F10" s="25">
        <v>13</v>
      </c>
      <c r="G10" s="23">
        <v>13</v>
      </c>
      <c r="H10" s="23"/>
      <c r="I10" s="23">
        <v>6</v>
      </c>
      <c r="J10" s="25">
        <v>22</v>
      </c>
      <c r="K10" s="23">
        <v>16</v>
      </c>
      <c r="L10" s="23"/>
      <c r="M10" s="23">
        <v>40</v>
      </c>
      <c r="N10" s="23">
        <v>60</v>
      </c>
      <c r="O10" s="23">
        <v>20</v>
      </c>
    </row>
    <row r="11" spans="1:15">
      <c r="A11" s="23">
        <v>0</v>
      </c>
      <c r="B11" s="23">
        <v>6</v>
      </c>
      <c r="C11" s="23">
        <v>6</v>
      </c>
      <c r="D11" s="23"/>
      <c r="E11" s="23">
        <v>0</v>
      </c>
      <c r="F11" s="25">
        <v>4</v>
      </c>
      <c r="G11" s="23">
        <v>4</v>
      </c>
      <c r="H11" s="23"/>
      <c r="I11" s="23">
        <v>0</v>
      </c>
      <c r="J11" s="25">
        <v>1</v>
      </c>
      <c r="K11" s="23">
        <v>1</v>
      </c>
      <c r="L11" s="23"/>
      <c r="M11" s="23">
        <v>65</v>
      </c>
      <c r="N11" s="23">
        <v>70</v>
      </c>
      <c r="O11" s="23">
        <v>5</v>
      </c>
    </row>
    <row r="12" spans="1:15">
      <c r="A12" s="23">
        <v>0</v>
      </c>
      <c r="B12" s="23">
        <v>16</v>
      </c>
      <c r="C12" s="23">
        <v>16</v>
      </c>
      <c r="D12" s="23"/>
      <c r="E12" s="23">
        <v>2</v>
      </c>
      <c r="F12" s="25">
        <v>2</v>
      </c>
      <c r="G12" s="23">
        <v>0</v>
      </c>
      <c r="H12" s="23"/>
      <c r="I12" s="23">
        <v>0</v>
      </c>
      <c r="J12" s="25">
        <v>1</v>
      </c>
      <c r="K12" s="23">
        <v>1</v>
      </c>
      <c r="L12" s="23"/>
      <c r="M12" s="23">
        <v>75</v>
      </c>
      <c r="N12" s="23">
        <v>80</v>
      </c>
      <c r="O12" s="23">
        <v>5</v>
      </c>
    </row>
    <row r="13" spans="1:15">
      <c r="A13" s="23">
        <v>4</v>
      </c>
      <c r="B13" s="23">
        <v>8</v>
      </c>
      <c r="C13" s="23">
        <v>4</v>
      </c>
      <c r="D13" s="23"/>
      <c r="E13" s="23">
        <v>0</v>
      </c>
      <c r="F13" s="25">
        <v>2</v>
      </c>
      <c r="G13" s="23">
        <v>2</v>
      </c>
      <c r="H13" s="23"/>
      <c r="I13" s="23">
        <v>0</v>
      </c>
      <c r="J13" s="25">
        <v>0</v>
      </c>
      <c r="K13" s="23">
        <v>0</v>
      </c>
      <c r="L13" s="23"/>
      <c r="M13" s="23">
        <v>45</v>
      </c>
      <c r="N13" s="23">
        <v>55</v>
      </c>
      <c r="O13" s="23">
        <v>10</v>
      </c>
    </row>
    <row r="14" spans="1:15">
      <c r="A14" s="23">
        <v>6</v>
      </c>
      <c r="B14" s="23">
        <v>18</v>
      </c>
      <c r="C14" s="23">
        <v>12</v>
      </c>
      <c r="D14" s="23"/>
      <c r="E14" s="23">
        <v>0</v>
      </c>
      <c r="F14" s="25">
        <v>1</v>
      </c>
      <c r="G14" s="23">
        <v>1</v>
      </c>
      <c r="H14" s="23"/>
      <c r="I14" s="23">
        <v>0</v>
      </c>
      <c r="J14" s="25">
        <v>2</v>
      </c>
      <c r="K14" s="23">
        <v>2</v>
      </c>
      <c r="L14" s="23"/>
      <c r="M14" s="23">
        <v>60</v>
      </c>
      <c r="N14" s="23">
        <v>60</v>
      </c>
      <c r="O14" s="23">
        <v>0</v>
      </c>
    </row>
    <row r="15" spans="1:15">
      <c r="A15" s="23">
        <v>0</v>
      </c>
      <c r="B15" s="23">
        <v>6</v>
      </c>
      <c r="C15" s="23">
        <v>6</v>
      </c>
      <c r="D15" s="23"/>
      <c r="E15" s="23">
        <v>0</v>
      </c>
      <c r="F15" s="25">
        <v>0</v>
      </c>
      <c r="G15" s="23">
        <v>0</v>
      </c>
      <c r="H15" s="23"/>
      <c r="I15" s="23">
        <v>0</v>
      </c>
      <c r="J15" s="25">
        <v>0</v>
      </c>
      <c r="K15" s="23">
        <v>0</v>
      </c>
      <c r="L15" s="23"/>
      <c r="M15" s="23">
        <v>45</v>
      </c>
      <c r="N15" s="23">
        <v>60</v>
      </c>
      <c r="O15" s="23">
        <v>15</v>
      </c>
    </row>
    <row r="16" spans="1:15">
      <c r="A16" s="23">
        <v>0</v>
      </c>
      <c r="B16" s="23">
        <v>7</v>
      </c>
      <c r="C16" s="23">
        <v>7</v>
      </c>
      <c r="D16" s="23"/>
      <c r="E16" s="23">
        <v>0</v>
      </c>
      <c r="F16" s="25">
        <v>1</v>
      </c>
      <c r="G16" s="23">
        <v>1</v>
      </c>
      <c r="H16" s="23"/>
      <c r="I16" s="23">
        <v>0</v>
      </c>
      <c r="J16" s="25">
        <v>2</v>
      </c>
      <c r="K16" s="23">
        <v>2</v>
      </c>
      <c r="L16" s="23"/>
      <c r="M16" s="23">
        <v>20</v>
      </c>
      <c r="N16" s="23">
        <v>40</v>
      </c>
      <c r="O16" s="23">
        <v>20</v>
      </c>
    </row>
    <row r="17" spans="1:15">
      <c r="A17" s="23">
        <v>5</v>
      </c>
      <c r="B17" s="23">
        <v>9</v>
      </c>
      <c r="C17" s="23">
        <v>4</v>
      </c>
      <c r="D17" s="23"/>
      <c r="E17" s="23">
        <v>0</v>
      </c>
      <c r="F17" s="25">
        <v>1</v>
      </c>
      <c r="G17" s="23">
        <v>1</v>
      </c>
      <c r="H17" s="23"/>
      <c r="I17" s="23">
        <v>2</v>
      </c>
      <c r="J17" s="25">
        <v>3</v>
      </c>
      <c r="K17" s="23">
        <v>1</v>
      </c>
      <c r="L17" s="23"/>
      <c r="M17" s="23">
        <v>50</v>
      </c>
      <c r="N17" s="23">
        <v>55</v>
      </c>
      <c r="O17" s="23">
        <v>5</v>
      </c>
    </row>
    <row r="18" spans="1:15">
      <c r="A18" s="23">
        <v>16</v>
      </c>
      <c r="B18" s="23">
        <v>24</v>
      </c>
      <c r="C18" s="23">
        <v>8</v>
      </c>
      <c r="D18" s="23"/>
      <c r="E18" s="23">
        <v>0</v>
      </c>
      <c r="F18" s="25">
        <v>4</v>
      </c>
      <c r="G18" s="23">
        <v>4</v>
      </c>
      <c r="H18" s="23"/>
      <c r="I18" s="23">
        <v>0</v>
      </c>
      <c r="J18" s="25">
        <v>15</v>
      </c>
      <c r="K18" s="23">
        <v>15</v>
      </c>
      <c r="L18" s="23"/>
      <c r="M18" s="23">
        <v>50</v>
      </c>
      <c r="N18" s="23">
        <v>90</v>
      </c>
      <c r="O18" s="23">
        <v>40</v>
      </c>
    </row>
    <row r="19" spans="1:15">
      <c r="A19" s="23">
        <v>4</v>
      </c>
      <c r="B19" s="23">
        <v>4</v>
      </c>
      <c r="C19" s="23">
        <v>0</v>
      </c>
      <c r="D19" s="23"/>
      <c r="E19" s="23">
        <v>0</v>
      </c>
      <c r="F19" s="25">
        <v>0</v>
      </c>
      <c r="G19" s="23">
        <v>0</v>
      </c>
      <c r="H19" s="23"/>
      <c r="I19" s="23">
        <v>0</v>
      </c>
      <c r="J19" s="25">
        <v>0</v>
      </c>
      <c r="K19" s="23">
        <v>0</v>
      </c>
      <c r="L19" s="23"/>
      <c r="M19" s="23">
        <v>30</v>
      </c>
      <c r="N19" s="23">
        <v>45</v>
      </c>
      <c r="O19" s="23">
        <v>15</v>
      </c>
    </row>
    <row r="20" spans="1:15">
      <c r="A20" s="23">
        <v>16</v>
      </c>
      <c r="B20" s="23">
        <v>24</v>
      </c>
      <c r="C20" s="23">
        <v>8</v>
      </c>
      <c r="D20" s="23"/>
      <c r="E20" s="23">
        <v>0</v>
      </c>
      <c r="F20" s="25">
        <v>1</v>
      </c>
      <c r="G20" s="23">
        <v>1</v>
      </c>
      <c r="H20" s="23"/>
      <c r="I20" s="23">
        <v>0</v>
      </c>
      <c r="J20" s="25">
        <v>2</v>
      </c>
      <c r="K20" s="23">
        <v>2</v>
      </c>
      <c r="L20" s="23"/>
      <c r="M20" s="23">
        <v>50</v>
      </c>
      <c r="N20" s="23">
        <v>60</v>
      </c>
      <c r="O20" s="23">
        <v>10</v>
      </c>
    </row>
    <row r="21" spans="1:15">
      <c r="A21" s="23">
        <v>17</v>
      </c>
      <c r="B21" s="23">
        <v>33</v>
      </c>
      <c r="C21" s="23">
        <v>16</v>
      </c>
      <c r="D21" s="23"/>
      <c r="E21" s="23">
        <v>2</v>
      </c>
      <c r="F21" s="25">
        <v>12</v>
      </c>
      <c r="G21" s="23">
        <v>10</v>
      </c>
      <c r="H21" s="23"/>
      <c r="I21" s="23">
        <v>15</v>
      </c>
      <c r="J21" s="25">
        <v>37</v>
      </c>
      <c r="K21" s="23">
        <v>22</v>
      </c>
      <c r="L21" s="23"/>
      <c r="M21" s="23">
        <v>55</v>
      </c>
      <c r="N21" s="23">
        <v>75</v>
      </c>
      <c r="O21" s="23">
        <v>20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G26" sqref="G26"/>
    </sheetView>
  </sheetViews>
  <sheetFormatPr defaultColWidth="8.88888888888889" defaultRowHeight="14.4"/>
  <sheetData>
    <row r="1" spans="1:15">
      <c r="A1" s="23" t="s">
        <v>7</v>
      </c>
      <c r="B1" s="23" t="s">
        <v>8</v>
      </c>
      <c r="C1" s="23" t="s">
        <v>9</v>
      </c>
      <c r="D1" s="23"/>
      <c r="E1" s="23" t="s">
        <v>10</v>
      </c>
      <c r="F1" s="25" t="s">
        <v>11</v>
      </c>
      <c r="G1" s="23" t="s">
        <v>12</v>
      </c>
      <c r="H1" s="23"/>
      <c r="I1" s="23" t="s">
        <v>13</v>
      </c>
      <c r="J1" s="25" t="s">
        <v>14</v>
      </c>
      <c r="K1" s="23" t="s">
        <v>15</v>
      </c>
      <c r="L1" s="23"/>
      <c r="M1" s="23" t="s">
        <v>16</v>
      </c>
      <c r="N1" s="23" t="s">
        <v>17</v>
      </c>
      <c r="O1" s="23" t="s">
        <v>18</v>
      </c>
    </row>
    <row r="2" spans="1:15">
      <c r="A2" s="23">
        <v>27</v>
      </c>
      <c r="B2" s="23">
        <v>28</v>
      </c>
      <c r="C2" s="23">
        <v>1</v>
      </c>
      <c r="D2" s="23"/>
      <c r="E2" s="23">
        <v>9</v>
      </c>
      <c r="F2" s="25">
        <v>18</v>
      </c>
      <c r="G2" s="23">
        <v>9</v>
      </c>
      <c r="H2" s="23"/>
      <c r="I2" s="23">
        <v>10</v>
      </c>
      <c r="J2" s="25">
        <v>30</v>
      </c>
      <c r="K2" s="23">
        <v>20</v>
      </c>
      <c r="L2" s="23"/>
      <c r="M2" s="23">
        <v>45</v>
      </c>
      <c r="N2" s="23">
        <v>65</v>
      </c>
      <c r="O2" s="23">
        <v>20</v>
      </c>
    </row>
    <row r="3" spans="1:15">
      <c r="A3" s="30">
        <v>8</v>
      </c>
      <c r="B3" s="30">
        <v>12</v>
      </c>
      <c r="C3" s="23">
        <v>4</v>
      </c>
      <c r="D3" s="30"/>
      <c r="E3" s="30">
        <v>2</v>
      </c>
      <c r="F3" s="30">
        <v>11</v>
      </c>
      <c r="G3" s="23">
        <v>9</v>
      </c>
      <c r="H3" s="30"/>
      <c r="I3" s="30">
        <v>6</v>
      </c>
      <c r="J3" s="30">
        <v>18</v>
      </c>
      <c r="K3" s="23">
        <v>12</v>
      </c>
      <c r="L3" s="30"/>
      <c r="M3" s="30">
        <v>30</v>
      </c>
      <c r="N3" s="30">
        <v>45</v>
      </c>
      <c r="O3" s="23">
        <v>15</v>
      </c>
    </row>
    <row r="4" spans="1:15">
      <c r="A4" s="30">
        <v>9</v>
      </c>
      <c r="B4" s="30">
        <v>11</v>
      </c>
      <c r="C4" s="23">
        <v>2</v>
      </c>
      <c r="D4" s="30"/>
      <c r="E4" s="30">
        <v>1</v>
      </c>
      <c r="F4" s="30">
        <v>15</v>
      </c>
      <c r="G4" s="23">
        <v>14</v>
      </c>
      <c r="H4" s="30"/>
      <c r="I4" s="30">
        <v>2</v>
      </c>
      <c r="J4" s="30">
        <v>12</v>
      </c>
      <c r="K4" s="23">
        <v>10</v>
      </c>
      <c r="L4" s="30"/>
      <c r="M4" s="30">
        <v>60</v>
      </c>
      <c r="N4" s="30">
        <v>60</v>
      </c>
      <c r="O4" s="23">
        <v>0</v>
      </c>
    </row>
    <row r="5" spans="1:15">
      <c r="A5" s="23">
        <v>24</v>
      </c>
      <c r="B5" s="23">
        <v>27</v>
      </c>
      <c r="C5" s="23">
        <v>3</v>
      </c>
      <c r="D5" s="23"/>
      <c r="E5" s="23">
        <v>14</v>
      </c>
      <c r="F5" s="25">
        <v>21</v>
      </c>
      <c r="G5" s="23">
        <v>7</v>
      </c>
      <c r="H5" s="23"/>
      <c r="I5" s="23">
        <v>31</v>
      </c>
      <c r="J5" s="25">
        <v>42</v>
      </c>
      <c r="K5" s="23">
        <v>11</v>
      </c>
      <c r="L5" s="23"/>
      <c r="M5" s="23">
        <v>30</v>
      </c>
      <c r="N5" s="23">
        <v>55</v>
      </c>
      <c r="O5" s="23">
        <v>25</v>
      </c>
    </row>
    <row r="6" spans="1:15">
      <c r="A6" s="23">
        <v>3</v>
      </c>
      <c r="B6" s="23">
        <v>5</v>
      </c>
      <c r="C6" s="23">
        <v>2</v>
      </c>
      <c r="D6" s="23"/>
      <c r="E6" s="23">
        <v>0</v>
      </c>
      <c r="F6" s="25">
        <v>0</v>
      </c>
      <c r="G6" s="23">
        <v>0</v>
      </c>
      <c r="H6" s="23"/>
      <c r="I6" s="23">
        <v>0</v>
      </c>
      <c r="J6" s="25">
        <v>0</v>
      </c>
      <c r="K6" s="23">
        <v>0</v>
      </c>
      <c r="L6" s="23"/>
      <c r="M6" s="23">
        <v>10</v>
      </c>
      <c r="N6" s="23">
        <v>10</v>
      </c>
      <c r="O6" s="23">
        <v>0</v>
      </c>
    </row>
    <row r="7" spans="1:15">
      <c r="A7" s="23">
        <v>20</v>
      </c>
      <c r="B7" s="23">
        <v>25</v>
      </c>
      <c r="C7" s="23">
        <v>5</v>
      </c>
      <c r="D7" s="23"/>
      <c r="E7" s="23">
        <v>14</v>
      </c>
      <c r="F7" s="25">
        <v>18</v>
      </c>
      <c r="G7" s="23">
        <v>4</v>
      </c>
      <c r="H7" s="23"/>
      <c r="I7" s="23">
        <v>15</v>
      </c>
      <c r="J7" s="25">
        <v>30</v>
      </c>
      <c r="K7" s="23">
        <v>15</v>
      </c>
      <c r="L7" s="23"/>
      <c r="M7" s="23">
        <v>35</v>
      </c>
      <c r="N7" s="23">
        <v>50</v>
      </c>
      <c r="O7" s="23">
        <v>15</v>
      </c>
    </row>
    <row r="8" spans="1:15">
      <c r="A8" s="23">
        <v>0</v>
      </c>
      <c r="B8" s="23">
        <v>4</v>
      </c>
      <c r="C8" s="23">
        <v>4</v>
      </c>
      <c r="D8" s="23"/>
      <c r="E8" s="23">
        <v>0</v>
      </c>
      <c r="F8" s="25">
        <v>2</v>
      </c>
      <c r="G8" s="23">
        <v>2</v>
      </c>
      <c r="H8" s="23"/>
      <c r="I8" s="23">
        <v>0</v>
      </c>
      <c r="J8" s="25">
        <v>1</v>
      </c>
      <c r="K8" s="23">
        <v>1</v>
      </c>
      <c r="L8" s="23"/>
      <c r="M8" s="23">
        <v>50</v>
      </c>
      <c r="N8" s="23">
        <v>70</v>
      </c>
      <c r="O8" s="23">
        <v>20</v>
      </c>
    </row>
    <row r="9" spans="1:15">
      <c r="A9" s="23">
        <v>6</v>
      </c>
      <c r="B9" s="23">
        <v>26</v>
      </c>
      <c r="C9" s="23">
        <v>20</v>
      </c>
      <c r="D9" s="23"/>
      <c r="E9" s="23">
        <v>2</v>
      </c>
      <c r="F9" s="25">
        <v>35</v>
      </c>
      <c r="G9" s="23">
        <v>33</v>
      </c>
      <c r="H9" s="23"/>
      <c r="I9" s="23">
        <v>1</v>
      </c>
      <c r="J9" s="25">
        <v>40</v>
      </c>
      <c r="K9" s="23">
        <v>39</v>
      </c>
      <c r="L9" s="23"/>
      <c r="M9" s="23">
        <v>20</v>
      </c>
      <c r="N9" s="23">
        <v>65</v>
      </c>
      <c r="O9" s="23">
        <v>45</v>
      </c>
    </row>
    <row r="10" spans="1:15">
      <c r="A10" s="23">
        <v>0</v>
      </c>
      <c r="B10" s="23">
        <v>12</v>
      </c>
      <c r="C10" s="23">
        <v>12</v>
      </c>
      <c r="D10" s="23"/>
      <c r="E10" s="23">
        <v>0</v>
      </c>
      <c r="F10" s="25">
        <v>2</v>
      </c>
      <c r="G10" s="23">
        <v>2</v>
      </c>
      <c r="H10" s="23"/>
      <c r="I10" s="23">
        <v>0</v>
      </c>
      <c r="J10" s="25">
        <v>4</v>
      </c>
      <c r="K10" s="23">
        <v>4</v>
      </c>
      <c r="L10" s="23"/>
      <c r="M10" s="23">
        <v>45</v>
      </c>
      <c r="N10" s="23">
        <v>60</v>
      </c>
      <c r="O10" s="23">
        <v>15</v>
      </c>
    </row>
    <row r="11" spans="1:15">
      <c r="A11" s="23">
        <v>28</v>
      </c>
      <c r="B11" s="23">
        <v>28</v>
      </c>
      <c r="C11" s="23">
        <v>0</v>
      </c>
      <c r="D11" s="23"/>
      <c r="E11" s="23">
        <v>13</v>
      </c>
      <c r="F11" s="25">
        <v>14</v>
      </c>
      <c r="G11" s="23">
        <v>1</v>
      </c>
      <c r="H11" s="23"/>
      <c r="I11" s="23">
        <v>26</v>
      </c>
      <c r="J11" s="25">
        <v>28</v>
      </c>
      <c r="K11" s="23">
        <v>2</v>
      </c>
      <c r="L11" s="23"/>
      <c r="M11" s="23">
        <v>45</v>
      </c>
      <c r="N11" s="23">
        <v>60</v>
      </c>
      <c r="O11" s="23">
        <v>15</v>
      </c>
    </row>
    <row r="12" spans="1:15">
      <c r="A12" s="23">
        <v>16</v>
      </c>
      <c r="B12" s="23">
        <v>28</v>
      </c>
      <c r="C12" s="23">
        <v>12</v>
      </c>
      <c r="D12" s="23"/>
      <c r="E12" s="23">
        <v>4</v>
      </c>
      <c r="F12" s="25">
        <v>12</v>
      </c>
      <c r="G12" s="23">
        <v>8</v>
      </c>
      <c r="H12" s="23"/>
      <c r="I12" s="23">
        <v>6</v>
      </c>
      <c r="J12" s="25">
        <v>22</v>
      </c>
      <c r="K12" s="23">
        <v>16</v>
      </c>
      <c r="L12" s="23"/>
      <c r="M12" s="23">
        <v>55</v>
      </c>
      <c r="N12" s="23">
        <v>70</v>
      </c>
      <c r="O12" s="23">
        <v>15</v>
      </c>
    </row>
    <row r="13" spans="1:15">
      <c r="A13" s="23">
        <v>23</v>
      </c>
      <c r="B13" s="23">
        <v>30</v>
      </c>
      <c r="C13" s="23">
        <v>7</v>
      </c>
      <c r="D13" s="23"/>
      <c r="E13" s="23">
        <v>5</v>
      </c>
      <c r="F13" s="25">
        <v>20</v>
      </c>
      <c r="G13" s="23">
        <v>15</v>
      </c>
      <c r="H13" s="23"/>
      <c r="I13" s="23">
        <v>15</v>
      </c>
      <c r="J13" s="25">
        <v>46</v>
      </c>
      <c r="K13" s="23">
        <v>31</v>
      </c>
      <c r="L13" s="23"/>
      <c r="M13" s="23">
        <v>70</v>
      </c>
      <c r="N13" s="23">
        <v>95</v>
      </c>
      <c r="O13" s="23">
        <v>25</v>
      </c>
    </row>
    <row r="14" spans="1:15">
      <c r="A14" s="30">
        <v>12</v>
      </c>
      <c r="B14" s="30">
        <v>28</v>
      </c>
      <c r="C14" s="23">
        <v>16</v>
      </c>
      <c r="D14" s="30"/>
      <c r="E14" s="30">
        <v>0</v>
      </c>
      <c r="F14" s="30">
        <v>19</v>
      </c>
      <c r="G14" s="23">
        <v>19</v>
      </c>
      <c r="H14" s="30"/>
      <c r="I14" s="30">
        <v>6</v>
      </c>
      <c r="J14" s="30">
        <v>42</v>
      </c>
      <c r="K14" s="23">
        <v>36</v>
      </c>
      <c r="L14" s="30"/>
      <c r="M14" s="30">
        <v>50</v>
      </c>
      <c r="N14" s="30">
        <v>65</v>
      </c>
      <c r="O14" s="23">
        <v>15</v>
      </c>
    </row>
    <row r="15" spans="1:15">
      <c r="A15" s="30">
        <v>15</v>
      </c>
      <c r="B15" s="30">
        <v>28</v>
      </c>
      <c r="C15" s="23">
        <v>13</v>
      </c>
      <c r="D15" s="30"/>
      <c r="E15" s="30">
        <v>7</v>
      </c>
      <c r="F15" s="30">
        <v>16</v>
      </c>
      <c r="G15" s="23">
        <v>9</v>
      </c>
      <c r="H15" s="30"/>
      <c r="I15" s="30">
        <v>10</v>
      </c>
      <c r="J15" s="30">
        <v>26</v>
      </c>
      <c r="K15" s="23">
        <v>16</v>
      </c>
      <c r="L15" s="30"/>
      <c r="M15" s="30">
        <v>60</v>
      </c>
      <c r="N15" s="30">
        <v>75</v>
      </c>
      <c r="O15" s="23">
        <v>15</v>
      </c>
    </row>
    <row r="16" spans="1:15">
      <c r="A16" s="30">
        <v>18</v>
      </c>
      <c r="B16" s="30">
        <v>30</v>
      </c>
      <c r="C16" s="23">
        <v>12</v>
      </c>
      <c r="D16" s="30"/>
      <c r="E16" s="30">
        <v>6</v>
      </c>
      <c r="F16" s="30">
        <v>26</v>
      </c>
      <c r="G16" s="23">
        <v>20</v>
      </c>
      <c r="H16" s="30"/>
      <c r="I16" s="30">
        <v>38</v>
      </c>
      <c r="J16" s="30">
        <v>53</v>
      </c>
      <c r="K16" s="23">
        <v>15</v>
      </c>
      <c r="L16" s="30"/>
      <c r="M16" s="30">
        <v>55</v>
      </c>
      <c r="N16" s="30">
        <v>75</v>
      </c>
      <c r="O16" s="23">
        <v>20</v>
      </c>
    </row>
    <row r="17" spans="1:15">
      <c r="A17" s="30">
        <v>0</v>
      </c>
      <c r="B17" s="30">
        <v>33</v>
      </c>
      <c r="C17" s="23">
        <v>33</v>
      </c>
      <c r="D17" s="30"/>
      <c r="E17" s="30">
        <v>6</v>
      </c>
      <c r="F17" s="30">
        <v>26</v>
      </c>
      <c r="G17" s="23">
        <v>20</v>
      </c>
      <c r="H17" s="30"/>
      <c r="I17" s="30">
        <v>2</v>
      </c>
      <c r="J17" s="30">
        <v>55</v>
      </c>
      <c r="K17" s="23">
        <v>53</v>
      </c>
      <c r="L17" s="30"/>
      <c r="M17" s="30">
        <v>10</v>
      </c>
      <c r="N17" s="30">
        <v>100</v>
      </c>
      <c r="O17" s="23">
        <v>90</v>
      </c>
    </row>
    <row r="18" spans="1:15">
      <c r="A18" s="30">
        <v>4</v>
      </c>
      <c r="B18" s="30">
        <v>6</v>
      </c>
      <c r="C18" s="23">
        <v>2</v>
      </c>
      <c r="D18" s="30"/>
      <c r="E18" s="30">
        <v>0</v>
      </c>
      <c r="F18" s="30">
        <v>0</v>
      </c>
      <c r="G18" s="23">
        <v>0</v>
      </c>
      <c r="H18" s="30"/>
      <c r="I18" s="30">
        <v>0</v>
      </c>
      <c r="J18" s="30">
        <v>0</v>
      </c>
      <c r="K18" s="23">
        <v>0</v>
      </c>
      <c r="L18" s="30"/>
      <c r="M18" s="30">
        <v>30</v>
      </c>
      <c r="N18" s="30">
        <v>45</v>
      </c>
      <c r="O18" s="23">
        <v>15</v>
      </c>
    </row>
    <row r="19" spans="1:15">
      <c r="A19" s="30">
        <v>6</v>
      </c>
      <c r="B19" s="30">
        <v>25</v>
      </c>
      <c r="C19" s="23">
        <v>19</v>
      </c>
      <c r="D19" s="30"/>
      <c r="E19" s="30">
        <v>2</v>
      </c>
      <c r="F19" s="30">
        <v>18</v>
      </c>
      <c r="G19" s="23">
        <v>16</v>
      </c>
      <c r="H19" s="30"/>
      <c r="I19" s="30">
        <v>1</v>
      </c>
      <c r="J19" s="30">
        <v>23</v>
      </c>
      <c r="K19" s="23">
        <v>22</v>
      </c>
      <c r="L19" s="30"/>
      <c r="M19" s="30">
        <v>55</v>
      </c>
      <c r="N19" s="30">
        <v>60</v>
      </c>
      <c r="O19" s="23">
        <v>5</v>
      </c>
    </row>
    <row r="20" spans="1:15">
      <c r="A20" s="30">
        <v>14</v>
      </c>
      <c r="B20" s="30">
        <v>31</v>
      </c>
      <c r="C20" s="23">
        <v>17</v>
      </c>
      <c r="D20" s="30"/>
      <c r="E20" s="30">
        <v>2</v>
      </c>
      <c r="F20" s="30">
        <v>24</v>
      </c>
      <c r="G20" s="23">
        <v>22</v>
      </c>
      <c r="H20" s="30"/>
      <c r="I20" s="30">
        <v>7</v>
      </c>
      <c r="J20" s="30">
        <v>43</v>
      </c>
      <c r="K20" s="23">
        <v>36</v>
      </c>
      <c r="L20" s="30"/>
      <c r="M20" s="30">
        <v>55</v>
      </c>
      <c r="N20" s="30">
        <v>75</v>
      </c>
      <c r="O20" s="23">
        <v>20</v>
      </c>
    </row>
    <row r="21" spans="1:15">
      <c r="A21" s="30">
        <v>7</v>
      </c>
      <c r="B21" s="30">
        <v>28</v>
      </c>
      <c r="C21" s="23">
        <v>21</v>
      </c>
      <c r="D21" s="30"/>
      <c r="E21" s="30">
        <v>1</v>
      </c>
      <c r="F21" s="30">
        <v>16</v>
      </c>
      <c r="G21" s="23">
        <v>15</v>
      </c>
      <c r="H21" s="30"/>
      <c r="I21" s="30">
        <v>2</v>
      </c>
      <c r="J21" s="30">
        <v>22</v>
      </c>
      <c r="K21" s="23">
        <v>20</v>
      </c>
      <c r="L21" s="30"/>
      <c r="M21" s="30">
        <v>40</v>
      </c>
      <c r="N21" s="30">
        <v>65</v>
      </c>
      <c r="O21" s="23">
        <v>25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opLeftCell="A10" workbookViewId="0">
      <selection activeCell="K26" sqref="K26"/>
    </sheetView>
  </sheetViews>
  <sheetFormatPr defaultColWidth="8.88888888888889" defaultRowHeight="14.4"/>
  <cols>
    <col min="4" max="4" width="9.66666666666667" style="22"/>
  </cols>
  <sheetData>
    <row r="1" spans="1:9">
      <c r="A1" s="23" t="s">
        <v>0</v>
      </c>
      <c r="B1" s="23" t="s">
        <v>171</v>
      </c>
      <c r="C1" s="24" t="s">
        <v>171</v>
      </c>
      <c r="D1" s="22" t="s">
        <v>0</v>
      </c>
      <c r="E1" s="23" t="s">
        <v>10</v>
      </c>
      <c r="F1" s="25" t="s">
        <v>11</v>
      </c>
      <c r="G1" s="23" t="s">
        <v>12</v>
      </c>
      <c r="H1" t="s">
        <v>172</v>
      </c>
      <c r="I1" t="s">
        <v>173</v>
      </c>
    </row>
    <row r="2" spans="1:9">
      <c r="A2" s="23">
        <v>4</v>
      </c>
      <c r="B2" s="26" t="s">
        <v>19</v>
      </c>
      <c r="C2" s="27" t="s">
        <v>19</v>
      </c>
      <c r="D2" s="28">
        <v>4</v>
      </c>
      <c r="E2" s="23">
        <v>9</v>
      </c>
      <c r="F2" s="25">
        <v>18</v>
      </c>
      <c r="G2" s="23">
        <f t="shared" ref="G2:G65" si="0">F2-E2</f>
        <v>9</v>
      </c>
    </row>
    <row r="3" spans="1:9">
      <c r="A3" s="23">
        <v>2</v>
      </c>
      <c r="B3" s="26" t="s">
        <v>23</v>
      </c>
      <c r="C3" s="27" t="s">
        <v>23</v>
      </c>
      <c r="D3" s="29">
        <v>2</v>
      </c>
      <c r="E3" s="23">
        <v>2</v>
      </c>
      <c r="F3" s="25">
        <v>6</v>
      </c>
      <c r="G3" s="23">
        <f t="shared" si="0"/>
        <v>4</v>
      </c>
    </row>
    <row r="4" spans="1:9">
      <c r="A4" s="30">
        <v>4</v>
      </c>
      <c r="B4" s="26" t="s">
        <v>26</v>
      </c>
      <c r="C4" s="27" t="s">
        <v>26</v>
      </c>
      <c r="D4" s="31">
        <v>4</v>
      </c>
      <c r="E4" s="30">
        <v>2</v>
      </c>
      <c r="F4" s="30">
        <v>11</v>
      </c>
      <c r="G4" s="23">
        <f t="shared" si="0"/>
        <v>9</v>
      </c>
    </row>
    <row r="5" spans="1:9">
      <c r="A5" s="30">
        <v>4</v>
      </c>
      <c r="B5" s="32" t="s">
        <v>27</v>
      </c>
      <c r="C5" s="33" t="s">
        <v>29</v>
      </c>
      <c r="D5" s="31">
        <v>3</v>
      </c>
      <c r="E5" s="30">
        <v>1</v>
      </c>
      <c r="F5" s="30">
        <v>15</v>
      </c>
      <c r="G5" s="23">
        <f t="shared" si="0"/>
        <v>14</v>
      </c>
    </row>
    <row r="6" spans="1:9">
      <c r="A6" s="23">
        <v>3</v>
      </c>
      <c r="B6" s="32" t="s">
        <v>29</v>
      </c>
      <c r="C6" s="33" t="s">
        <v>27</v>
      </c>
      <c r="D6" s="31">
        <v>4</v>
      </c>
      <c r="E6" s="23">
        <v>0</v>
      </c>
      <c r="F6" s="25">
        <v>4</v>
      </c>
      <c r="G6" s="23">
        <f t="shared" si="0"/>
        <v>4</v>
      </c>
    </row>
    <row r="7" spans="1:9">
      <c r="A7" s="23">
        <v>1</v>
      </c>
      <c r="B7" s="34" t="s">
        <v>30</v>
      </c>
      <c r="E7" s="23">
        <v>2</v>
      </c>
      <c r="F7" s="25">
        <v>6</v>
      </c>
      <c r="G7" s="23">
        <f t="shared" si="0"/>
        <v>4</v>
      </c>
    </row>
    <row r="8" spans="1:9">
      <c r="A8" s="30">
        <v>3</v>
      </c>
      <c r="B8" s="26" t="s">
        <v>31</v>
      </c>
      <c r="C8" s="27" t="s">
        <v>31</v>
      </c>
      <c r="D8" s="31">
        <v>3</v>
      </c>
      <c r="E8" s="30">
        <v>17</v>
      </c>
      <c r="F8" s="30">
        <v>27</v>
      </c>
      <c r="G8" s="23">
        <f t="shared" si="0"/>
        <v>10</v>
      </c>
    </row>
    <row r="9" spans="1:9">
      <c r="A9" s="23">
        <v>2</v>
      </c>
      <c r="B9" s="26" t="s">
        <v>32</v>
      </c>
      <c r="C9" s="27" t="s">
        <v>32</v>
      </c>
      <c r="D9" s="28">
        <v>2</v>
      </c>
      <c r="E9" s="23">
        <v>2</v>
      </c>
      <c r="F9" s="25">
        <v>2</v>
      </c>
      <c r="G9" s="23">
        <f t="shared" si="0"/>
        <v>0</v>
      </c>
    </row>
    <row r="10" spans="1:9">
      <c r="A10" s="23">
        <v>1</v>
      </c>
      <c r="B10" s="26" t="s">
        <v>33</v>
      </c>
      <c r="C10" s="27" t="s">
        <v>33</v>
      </c>
      <c r="D10" s="31">
        <v>1</v>
      </c>
      <c r="E10" s="23">
        <v>12</v>
      </c>
      <c r="F10" s="25">
        <v>13</v>
      </c>
      <c r="G10" s="23">
        <f t="shared" si="0"/>
        <v>1</v>
      </c>
    </row>
    <row r="11" spans="1:9">
      <c r="A11" s="23">
        <v>1</v>
      </c>
      <c r="B11" s="26" t="s">
        <v>34</v>
      </c>
      <c r="C11" s="27" t="s">
        <v>34</v>
      </c>
      <c r="D11" s="29">
        <v>1</v>
      </c>
      <c r="E11" s="23">
        <v>0</v>
      </c>
      <c r="F11" s="25">
        <v>12</v>
      </c>
      <c r="G11" s="23">
        <f t="shared" si="0"/>
        <v>12</v>
      </c>
    </row>
    <row r="12" spans="1:9">
      <c r="A12" s="23">
        <v>3</v>
      </c>
      <c r="B12" s="35" t="s">
        <v>35</v>
      </c>
      <c r="C12" s="27" t="s">
        <v>35</v>
      </c>
      <c r="D12" s="29">
        <v>3</v>
      </c>
      <c r="E12" s="23">
        <v>24</v>
      </c>
      <c r="F12" s="25">
        <v>30</v>
      </c>
      <c r="G12" s="23">
        <f t="shared" si="0"/>
        <v>6</v>
      </c>
    </row>
    <row r="13" spans="1:9">
      <c r="A13" s="23">
        <v>2</v>
      </c>
      <c r="B13" s="36" t="s">
        <v>36</v>
      </c>
      <c r="E13" s="23">
        <v>0</v>
      </c>
      <c r="F13" s="25">
        <v>0</v>
      </c>
      <c r="G13" s="23">
        <f t="shared" si="0"/>
        <v>0</v>
      </c>
    </row>
    <row r="14" spans="1:9">
      <c r="A14" s="23">
        <v>2</v>
      </c>
      <c r="B14" s="37" t="s">
        <v>37</v>
      </c>
      <c r="C14" s="27" t="s">
        <v>37</v>
      </c>
      <c r="D14" s="28">
        <v>2</v>
      </c>
      <c r="E14" s="23">
        <v>0</v>
      </c>
      <c r="F14" s="25">
        <v>0</v>
      </c>
      <c r="G14" s="23">
        <f t="shared" si="0"/>
        <v>0</v>
      </c>
    </row>
    <row r="15" spans="1:9">
      <c r="A15" s="23">
        <v>2</v>
      </c>
      <c r="B15" s="37" t="s">
        <v>38</v>
      </c>
      <c r="C15" s="27" t="s">
        <v>174</v>
      </c>
      <c r="D15" s="29">
        <v>2</v>
      </c>
      <c r="E15" s="23">
        <v>12</v>
      </c>
      <c r="F15" s="25">
        <v>18</v>
      </c>
      <c r="G15" s="23">
        <f t="shared" si="0"/>
        <v>6</v>
      </c>
    </row>
    <row r="16" spans="1:9">
      <c r="A16" s="23">
        <v>1</v>
      </c>
      <c r="B16" s="37" t="s">
        <v>39</v>
      </c>
      <c r="C16" s="27" t="s">
        <v>39</v>
      </c>
      <c r="D16" s="38">
        <v>1</v>
      </c>
      <c r="E16" s="23">
        <v>17</v>
      </c>
      <c r="F16" s="25">
        <v>29</v>
      </c>
      <c r="G16" s="23">
        <f t="shared" si="0"/>
        <v>12</v>
      </c>
    </row>
    <row r="17" spans="1:7">
      <c r="A17" s="23">
        <v>4</v>
      </c>
      <c r="B17" s="37" t="s">
        <v>40</v>
      </c>
      <c r="E17" s="23">
        <v>14</v>
      </c>
      <c r="F17" s="25">
        <v>21</v>
      </c>
      <c r="G17" s="23">
        <f t="shared" si="0"/>
        <v>7</v>
      </c>
    </row>
    <row r="18" spans="1:7">
      <c r="A18" s="23">
        <v>1</v>
      </c>
      <c r="B18" t="s">
        <v>41</v>
      </c>
      <c r="E18" s="23">
        <v>1</v>
      </c>
      <c r="F18" s="25">
        <v>1</v>
      </c>
      <c r="G18" s="23">
        <f t="shared" si="0"/>
        <v>0</v>
      </c>
    </row>
    <row r="19" spans="1:7">
      <c r="A19" s="23">
        <v>3</v>
      </c>
      <c r="B19" s="37" t="s">
        <v>42</v>
      </c>
      <c r="C19" s="27" t="s">
        <v>42</v>
      </c>
      <c r="D19" s="29">
        <v>3</v>
      </c>
      <c r="E19" s="23">
        <v>0</v>
      </c>
      <c r="F19" s="25">
        <v>0</v>
      </c>
      <c r="G19" s="23">
        <f t="shared" si="0"/>
        <v>0</v>
      </c>
    </row>
    <row r="20" spans="1:7">
      <c r="A20" s="23">
        <v>3</v>
      </c>
      <c r="B20" s="37" t="s">
        <v>43</v>
      </c>
      <c r="C20" s="27" t="s">
        <v>43</v>
      </c>
      <c r="D20" s="39">
        <v>3</v>
      </c>
      <c r="E20" s="23">
        <v>1</v>
      </c>
      <c r="F20" s="25">
        <v>8</v>
      </c>
      <c r="G20" s="23">
        <f t="shared" si="0"/>
        <v>7</v>
      </c>
    </row>
    <row r="21" spans="1:7">
      <c r="A21" s="23">
        <v>3</v>
      </c>
      <c r="B21" t="s">
        <v>44</v>
      </c>
      <c r="E21" s="23">
        <v>20</v>
      </c>
      <c r="F21" s="25">
        <v>22</v>
      </c>
      <c r="G21" s="23">
        <f t="shared" si="0"/>
        <v>2</v>
      </c>
    </row>
    <row r="22" spans="1:7">
      <c r="A22" s="23">
        <v>4</v>
      </c>
      <c r="B22" s="40" t="s">
        <v>45</v>
      </c>
      <c r="C22" s="27" t="s">
        <v>45</v>
      </c>
      <c r="D22" s="31">
        <v>4</v>
      </c>
      <c r="E22" s="23">
        <v>0</v>
      </c>
      <c r="F22" s="25">
        <v>0</v>
      </c>
      <c r="G22" s="23">
        <f t="shared" si="0"/>
        <v>0</v>
      </c>
    </row>
    <row r="23" spans="1:7">
      <c r="A23" s="23">
        <v>2</v>
      </c>
      <c r="B23" s="40" t="s">
        <v>46</v>
      </c>
      <c r="C23" s="27" t="s">
        <v>46</v>
      </c>
      <c r="D23" s="38">
        <v>2</v>
      </c>
      <c r="E23" s="23">
        <v>16</v>
      </c>
      <c r="F23" s="25">
        <v>32</v>
      </c>
      <c r="G23" s="23">
        <f t="shared" si="0"/>
        <v>16</v>
      </c>
    </row>
    <row r="24" spans="1:7">
      <c r="A24" s="23">
        <v>3</v>
      </c>
      <c r="B24" s="40" t="s">
        <v>47</v>
      </c>
      <c r="C24" s="27" t="s">
        <v>47</v>
      </c>
      <c r="D24" s="31">
        <v>3</v>
      </c>
      <c r="E24" s="23">
        <v>0</v>
      </c>
      <c r="F24" s="25">
        <v>0</v>
      </c>
      <c r="G24" s="23">
        <f t="shared" si="0"/>
        <v>0</v>
      </c>
    </row>
    <row r="25" spans="1:7">
      <c r="A25" s="23">
        <v>2</v>
      </c>
      <c r="B25" s="32" t="s">
        <v>48</v>
      </c>
      <c r="E25" s="23">
        <v>10</v>
      </c>
      <c r="F25" s="25">
        <v>10</v>
      </c>
      <c r="G25" s="23">
        <f t="shared" si="0"/>
        <v>0</v>
      </c>
    </row>
    <row r="26" spans="1:7">
      <c r="A26" s="23">
        <v>2</v>
      </c>
      <c r="B26" s="41" t="s">
        <v>49</v>
      </c>
      <c r="E26" s="23">
        <v>0</v>
      </c>
      <c r="F26" s="25">
        <v>0</v>
      </c>
      <c r="G26" s="23">
        <f t="shared" si="0"/>
        <v>0</v>
      </c>
    </row>
    <row r="27" spans="1:7">
      <c r="A27" s="23">
        <v>4</v>
      </c>
      <c r="B27" s="40" t="s">
        <v>50</v>
      </c>
      <c r="C27" s="27" t="s">
        <v>50</v>
      </c>
      <c r="D27" s="31">
        <v>4</v>
      </c>
      <c r="E27" s="23">
        <v>14</v>
      </c>
      <c r="F27" s="25">
        <v>18</v>
      </c>
      <c r="G27" s="23">
        <f t="shared" si="0"/>
        <v>4</v>
      </c>
    </row>
    <row r="28" spans="1:7">
      <c r="A28" s="23">
        <v>3</v>
      </c>
      <c r="B28" s="40" t="s">
        <v>51</v>
      </c>
      <c r="C28" s="27" t="s">
        <v>51</v>
      </c>
      <c r="D28" s="28">
        <v>3</v>
      </c>
      <c r="E28" s="23">
        <v>0</v>
      </c>
      <c r="F28" s="25">
        <v>16</v>
      </c>
      <c r="G28" s="23">
        <f t="shared" si="0"/>
        <v>16</v>
      </c>
    </row>
    <row r="29" spans="1:7">
      <c r="A29" s="23">
        <v>2</v>
      </c>
      <c r="B29" s="41" t="s">
        <v>52</v>
      </c>
      <c r="C29" s="33" t="s">
        <v>52</v>
      </c>
      <c r="D29" s="29">
        <v>2</v>
      </c>
      <c r="E29" s="23">
        <v>17</v>
      </c>
      <c r="F29" s="25">
        <v>13</v>
      </c>
      <c r="G29" s="23">
        <f t="shared" si="0"/>
        <v>-4</v>
      </c>
    </row>
    <row r="30" spans="1:7">
      <c r="A30" s="23">
        <v>1</v>
      </c>
      <c r="B30" s="42" t="s">
        <v>53</v>
      </c>
      <c r="E30" s="23">
        <v>0</v>
      </c>
      <c r="F30" s="25">
        <v>0</v>
      </c>
      <c r="G30" s="23">
        <f t="shared" si="0"/>
        <v>0</v>
      </c>
    </row>
    <row r="31" spans="1:7">
      <c r="A31" s="23">
        <v>4</v>
      </c>
      <c r="B31" s="43" t="s">
        <v>54</v>
      </c>
      <c r="E31" s="23">
        <v>0</v>
      </c>
      <c r="F31" s="25">
        <v>2</v>
      </c>
      <c r="G31" s="23">
        <f t="shared" si="0"/>
        <v>2</v>
      </c>
    </row>
    <row r="32" spans="1:7">
      <c r="A32" s="23">
        <v>3</v>
      </c>
      <c r="B32" s="44" t="s">
        <v>55</v>
      </c>
      <c r="C32" s="33" t="s">
        <v>55</v>
      </c>
      <c r="D32" s="31">
        <v>4</v>
      </c>
      <c r="E32" s="23">
        <v>0</v>
      </c>
      <c r="F32" s="25">
        <v>13</v>
      </c>
      <c r="G32" s="23">
        <f t="shared" si="0"/>
        <v>13</v>
      </c>
    </row>
    <row r="33" spans="1:7">
      <c r="A33" s="23">
        <v>3</v>
      </c>
      <c r="B33" s="43" t="s">
        <v>56</v>
      </c>
      <c r="C33" s="33" t="s">
        <v>56</v>
      </c>
      <c r="D33" s="38">
        <v>3</v>
      </c>
      <c r="E33" s="23">
        <v>0</v>
      </c>
      <c r="F33" s="25">
        <v>4</v>
      </c>
      <c r="G33" s="23">
        <f t="shared" si="0"/>
        <v>4</v>
      </c>
    </row>
    <row r="34" spans="1:7">
      <c r="A34" s="23">
        <v>4</v>
      </c>
      <c r="B34" s="41" t="s">
        <v>57</v>
      </c>
      <c r="E34" s="23">
        <v>2</v>
      </c>
      <c r="F34" s="25">
        <v>35</v>
      </c>
      <c r="G34" s="23">
        <f t="shared" si="0"/>
        <v>33</v>
      </c>
    </row>
    <row r="35" spans="1:7">
      <c r="A35" s="23">
        <v>1</v>
      </c>
      <c r="B35" s="40" t="s">
        <v>58</v>
      </c>
      <c r="C35" s="27" t="s">
        <v>58</v>
      </c>
      <c r="D35" s="38">
        <v>1</v>
      </c>
      <c r="E35" s="23">
        <v>19</v>
      </c>
      <c r="F35" s="25">
        <v>35</v>
      </c>
      <c r="G35" s="23">
        <f t="shared" si="0"/>
        <v>16</v>
      </c>
    </row>
    <row r="36" spans="1:7">
      <c r="A36" s="23">
        <v>1</v>
      </c>
      <c r="B36" s="41" t="s">
        <v>59</v>
      </c>
      <c r="E36" s="23">
        <v>0</v>
      </c>
      <c r="F36" s="25">
        <v>0</v>
      </c>
      <c r="G36" s="23">
        <f t="shared" si="0"/>
        <v>0</v>
      </c>
    </row>
    <row r="37" spans="1:7">
      <c r="A37" s="23">
        <v>1</v>
      </c>
      <c r="B37" s="40" t="s">
        <v>60</v>
      </c>
      <c r="C37" s="27" t="s">
        <v>60</v>
      </c>
      <c r="D37" s="28">
        <v>1</v>
      </c>
      <c r="E37" s="23">
        <v>0</v>
      </c>
      <c r="F37" s="25">
        <v>6</v>
      </c>
      <c r="G37" s="23">
        <f t="shared" si="0"/>
        <v>6</v>
      </c>
    </row>
    <row r="38" spans="1:7">
      <c r="A38" s="23">
        <v>4</v>
      </c>
      <c r="B38" s="40" t="s">
        <v>61</v>
      </c>
      <c r="C38" s="27" t="s">
        <v>61</v>
      </c>
      <c r="D38" s="31">
        <v>4</v>
      </c>
      <c r="E38" s="23">
        <v>0</v>
      </c>
      <c r="F38" s="25">
        <v>2</v>
      </c>
      <c r="G38" s="23">
        <f t="shared" si="0"/>
        <v>2</v>
      </c>
    </row>
    <row r="39" spans="1:7">
      <c r="A39" s="23">
        <v>4</v>
      </c>
      <c r="B39" s="40" t="s">
        <v>62</v>
      </c>
      <c r="C39" s="27" t="s">
        <v>62</v>
      </c>
      <c r="D39" s="31">
        <v>4</v>
      </c>
      <c r="E39" s="23">
        <v>13</v>
      </c>
      <c r="F39" s="25">
        <v>14</v>
      </c>
      <c r="G39" s="23">
        <f t="shared" si="0"/>
        <v>1</v>
      </c>
    </row>
    <row r="40" spans="1:7">
      <c r="A40" s="23">
        <v>2</v>
      </c>
      <c r="B40" s="41" t="s">
        <v>63</v>
      </c>
      <c r="C40" s="33" t="s">
        <v>63</v>
      </c>
      <c r="D40" s="31">
        <v>2</v>
      </c>
      <c r="E40" s="23">
        <v>0</v>
      </c>
      <c r="F40" s="25">
        <v>0</v>
      </c>
      <c r="G40" s="23">
        <f t="shared" si="0"/>
        <v>0</v>
      </c>
    </row>
    <row r="41" spans="1:7">
      <c r="A41" s="23">
        <v>4</v>
      </c>
      <c r="B41" s="41" t="s">
        <v>64</v>
      </c>
      <c r="E41" s="23">
        <v>4</v>
      </c>
      <c r="F41" s="25">
        <v>12</v>
      </c>
      <c r="G41" s="23">
        <f t="shared" si="0"/>
        <v>8</v>
      </c>
    </row>
    <row r="42" spans="1:7">
      <c r="A42" s="23">
        <v>1</v>
      </c>
      <c r="B42" s="40" t="s">
        <v>65</v>
      </c>
      <c r="C42" s="27" t="s">
        <v>65</v>
      </c>
      <c r="D42" s="38">
        <v>1</v>
      </c>
      <c r="E42" s="23">
        <v>0</v>
      </c>
      <c r="F42" s="25">
        <v>2</v>
      </c>
      <c r="G42" s="23">
        <f t="shared" si="0"/>
        <v>2</v>
      </c>
    </row>
    <row r="43" spans="1:7">
      <c r="A43" s="23">
        <v>1</v>
      </c>
      <c r="B43" s="40" t="s">
        <v>66</v>
      </c>
      <c r="C43" s="27" t="s">
        <v>66</v>
      </c>
      <c r="D43" s="29">
        <v>1</v>
      </c>
      <c r="E43" s="23">
        <v>0</v>
      </c>
      <c r="F43" s="25">
        <v>5</v>
      </c>
      <c r="G43" s="23">
        <f t="shared" si="0"/>
        <v>5</v>
      </c>
    </row>
    <row r="44" spans="1:7">
      <c r="A44" s="23">
        <v>1</v>
      </c>
      <c r="B44" s="40" t="s">
        <v>67</v>
      </c>
      <c r="C44" s="27" t="s">
        <v>67</v>
      </c>
      <c r="D44" s="29">
        <v>1</v>
      </c>
      <c r="E44" s="23">
        <v>0</v>
      </c>
      <c r="F44" s="25">
        <v>5</v>
      </c>
      <c r="G44" s="23">
        <f t="shared" si="0"/>
        <v>5</v>
      </c>
    </row>
    <row r="45" spans="1:7">
      <c r="A45" s="23">
        <v>4</v>
      </c>
      <c r="B45" s="41" t="s">
        <v>68</v>
      </c>
      <c r="E45" s="23">
        <v>5</v>
      </c>
      <c r="F45" s="25">
        <v>20</v>
      </c>
      <c r="G45" s="23">
        <f t="shared" si="0"/>
        <v>15</v>
      </c>
    </row>
    <row r="46" spans="1:7">
      <c r="A46" s="23">
        <v>2</v>
      </c>
      <c r="B46" s="41" t="s">
        <v>70</v>
      </c>
      <c r="C46" t="s">
        <v>49</v>
      </c>
      <c r="D46" s="28">
        <v>2</v>
      </c>
      <c r="E46" s="23">
        <v>1</v>
      </c>
      <c r="F46" s="25">
        <v>7</v>
      </c>
      <c r="G46" s="23">
        <f t="shared" si="0"/>
        <v>6</v>
      </c>
    </row>
    <row r="47" spans="1:7">
      <c r="A47" s="30">
        <v>1</v>
      </c>
      <c r="B47" s="45" t="s">
        <v>71</v>
      </c>
      <c r="E47" s="30">
        <v>0</v>
      </c>
      <c r="F47" s="30">
        <v>3</v>
      </c>
      <c r="G47" s="23">
        <f t="shared" si="0"/>
        <v>3</v>
      </c>
    </row>
    <row r="48" spans="1:7">
      <c r="A48" s="30">
        <v>1</v>
      </c>
      <c r="B48" s="45" t="s">
        <v>72</v>
      </c>
      <c r="E48" s="30">
        <v>0</v>
      </c>
      <c r="F48" s="30">
        <v>1</v>
      </c>
      <c r="G48" s="23">
        <f t="shared" si="0"/>
        <v>1</v>
      </c>
    </row>
    <row r="49" spans="1:7">
      <c r="A49" s="30">
        <v>4</v>
      </c>
      <c r="B49" s="45" t="s">
        <v>73</v>
      </c>
      <c r="E49" s="30">
        <v>0</v>
      </c>
      <c r="F49" s="30">
        <v>19</v>
      </c>
      <c r="G49" s="23">
        <f t="shared" si="0"/>
        <v>19</v>
      </c>
    </row>
    <row r="50" spans="1:7">
      <c r="A50" s="23">
        <v>3</v>
      </c>
      <c r="B50" s="46" t="s">
        <v>74</v>
      </c>
      <c r="E50" s="23">
        <v>2</v>
      </c>
      <c r="F50" s="25">
        <v>2</v>
      </c>
      <c r="G50" s="23">
        <f t="shared" si="0"/>
        <v>0</v>
      </c>
    </row>
    <row r="51" spans="1:7">
      <c r="A51" s="23">
        <v>2</v>
      </c>
      <c r="B51" s="45" t="s">
        <v>75</v>
      </c>
      <c r="E51" s="23">
        <v>2</v>
      </c>
      <c r="F51" s="25">
        <v>2</v>
      </c>
      <c r="G51" s="23">
        <f t="shared" si="0"/>
        <v>0</v>
      </c>
    </row>
    <row r="52" spans="1:7">
      <c r="A52" s="30">
        <v>4</v>
      </c>
      <c r="B52" s="45" t="s">
        <v>76</v>
      </c>
      <c r="E52" s="30">
        <v>7</v>
      </c>
      <c r="F52" s="30">
        <v>16</v>
      </c>
      <c r="G52" s="23">
        <f t="shared" si="0"/>
        <v>9</v>
      </c>
    </row>
    <row r="53" spans="1:7">
      <c r="A53" s="23">
        <v>3</v>
      </c>
      <c r="B53" s="45" t="s">
        <v>77</v>
      </c>
      <c r="E53" s="23">
        <v>0</v>
      </c>
      <c r="F53" s="25">
        <v>2</v>
      </c>
      <c r="G53" s="23">
        <f t="shared" si="0"/>
        <v>2</v>
      </c>
    </row>
    <row r="54" spans="1:7">
      <c r="A54" s="23">
        <v>1</v>
      </c>
      <c r="B54" s="47" t="s">
        <v>78</v>
      </c>
      <c r="E54" s="23">
        <v>0</v>
      </c>
      <c r="F54" s="25">
        <v>0</v>
      </c>
      <c r="G54" s="23">
        <f t="shared" si="0"/>
        <v>0</v>
      </c>
    </row>
    <row r="55" spans="1:7">
      <c r="A55" s="23">
        <v>2</v>
      </c>
      <c r="B55" s="48" t="s">
        <v>79</v>
      </c>
      <c r="E55" s="23">
        <v>0</v>
      </c>
      <c r="F55" s="25">
        <v>6</v>
      </c>
      <c r="G55" s="23">
        <f t="shared" si="0"/>
        <v>6</v>
      </c>
    </row>
    <row r="56" spans="1:7">
      <c r="A56" s="30">
        <v>4</v>
      </c>
      <c r="B56" t="s">
        <v>80</v>
      </c>
      <c r="E56" s="30">
        <v>6</v>
      </c>
      <c r="F56" s="30">
        <v>26</v>
      </c>
      <c r="G56" s="23">
        <f t="shared" si="0"/>
        <v>20</v>
      </c>
    </row>
    <row r="57" spans="1:7">
      <c r="A57" s="23">
        <v>3</v>
      </c>
      <c r="B57" s="48" t="s">
        <v>81</v>
      </c>
      <c r="E57" s="23">
        <v>0</v>
      </c>
      <c r="F57" s="25">
        <v>1</v>
      </c>
      <c r="G57" s="23">
        <f t="shared" si="0"/>
        <v>1</v>
      </c>
    </row>
    <row r="58" spans="1:7">
      <c r="A58" s="23">
        <v>1</v>
      </c>
      <c r="B58" t="s">
        <v>82</v>
      </c>
      <c r="E58" s="23">
        <v>4</v>
      </c>
      <c r="F58" s="25">
        <v>5</v>
      </c>
      <c r="G58" s="23">
        <f t="shared" si="0"/>
        <v>1</v>
      </c>
    </row>
    <row r="59" spans="1:7">
      <c r="A59" s="23">
        <v>2</v>
      </c>
      <c r="B59" t="s">
        <v>83</v>
      </c>
      <c r="E59" s="23">
        <v>0</v>
      </c>
      <c r="F59" s="25">
        <v>1</v>
      </c>
      <c r="G59" s="23">
        <f t="shared" si="0"/>
        <v>1</v>
      </c>
    </row>
    <row r="60" spans="1:7">
      <c r="A60" s="23">
        <v>3</v>
      </c>
      <c r="B60" t="s">
        <v>84</v>
      </c>
      <c r="E60" s="23">
        <v>0</v>
      </c>
      <c r="F60" s="25">
        <v>0</v>
      </c>
      <c r="G60" s="23">
        <f t="shared" si="0"/>
        <v>0</v>
      </c>
    </row>
    <row r="61" spans="1:7">
      <c r="A61" s="23">
        <v>3</v>
      </c>
      <c r="B61" t="s">
        <v>85</v>
      </c>
      <c r="E61" s="23">
        <v>0</v>
      </c>
      <c r="F61" s="25">
        <v>1</v>
      </c>
      <c r="G61" s="23">
        <f t="shared" si="0"/>
        <v>1</v>
      </c>
    </row>
    <row r="62" spans="1:7">
      <c r="A62" s="30">
        <v>4</v>
      </c>
      <c r="B62" s="48" t="s">
        <v>86</v>
      </c>
      <c r="E62" s="30">
        <v>6</v>
      </c>
      <c r="F62" s="30">
        <v>26</v>
      </c>
      <c r="G62" s="23">
        <f t="shared" si="0"/>
        <v>20</v>
      </c>
    </row>
    <row r="63" spans="1:7">
      <c r="A63" s="23">
        <v>2</v>
      </c>
      <c r="B63" t="s">
        <v>87</v>
      </c>
      <c r="E63" s="23">
        <v>0</v>
      </c>
      <c r="F63" s="25">
        <v>2</v>
      </c>
      <c r="G63" s="23">
        <f t="shared" si="0"/>
        <v>2</v>
      </c>
    </row>
    <row r="64" spans="1:7">
      <c r="A64" s="23">
        <v>1</v>
      </c>
      <c r="B64" t="s">
        <v>88</v>
      </c>
      <c r="E64" s="23">
        <v>1</v>
      </c>
      <c r="F64" s="25">
        <v>3</v>
      </c>
      <c r="G64" s="23">
        <f t="shared" si="0"/>
        <v>2</v>
      </c>
    </row>
    <row r="65" spans="1:7">
      <c r="A65" s="23">
        <v>3</v>
      </c>
      <c r="B65" t="s">
        <v>89</v>
      </c>
      <c r="E65" s="23">
        <v>0</v>
      </c>
      <c r="F65" s="25">
        <v>1</v>
      </c>
      <c r="G65" s="23">
        <f t="shared" si="0"/>
        <v>1</v>
      </c>
    </row>
    <row r="66" spans="1:7">
      <c r="A66" s="23">
        <v>2</v>
      </c>
      <c r="B66" s="48" t="s">
        <v>90</v>
      </c>
      <c r="E66" s="23">
        <v>0</v>
      </c>
      <c r="F66" s="25">
        <v>1</v>
      </c>
      <c r="G66" s="23">
        <f t="shared" ref="G66:G81" si="1">F66-E66</f>
        <v>1</v>
      </c>
    </row>
    <row r="67" spans="1:7">
      <c r="A67" s="23">
        <v>2</v>
      </c>
      <c r="B67" t="s">
        <v>91</v>
      </c>
      <c r="E67" s="23">
        <v>0</v>
      </c>
      <c r="F67" s="25">
        <v>4</v>
      </c>
      <c r="G67" s="23">
        <f t="shared" si="1"/>
        <v>4</v>
      </c>
    </row>
    <row r="68" spans="1:7">
      <c r="A68" s="30">
        <v>4</v>
      </c>
      <c r="B68" s="48" t="s">
        <v>92</v>
      </c>
      <c r="E68" s="30">
        <v>0</v>
      </c>
      <c r="F68" s="30">
        <v>0</v>
      </c>
      <c r="G68" s="23">
        <f t="shared" si="1"/>
        <v>0</v>
      </c>
    </row>
    <row r="69" spans="1:7">
      <c r="A69" s="23">
        <v>2</v>
      </c>
      <c r="B69" s="48" t="s">
        <v>93</v>
      </c>
      <c r="E69" s="23">
        <v>0</v>
      </c>
      <c r="F69" s="25">
        <v>16</v>
      </c>
      <c r="G69" s="23">
        <f t="shared" si="1"/>
        <v>16</v>
      </c>
    </row>
    <row r="70" spans="1:7">
      <c r="A70" s="23">
        <v>3</v>
      </c>
      <c r="B70" t="s">
        <v>94</v>
      </c>
      <c r="E70" s="23">
        <v>0</v>
      </c>
      <c r="F70" s="25">
        <v>4</v>
      </c>
      <c r="G70" s="23">
        <f t="shared" si="1"/>
        <v>4</v>
      </c>
    </row>
    <row r="71" spans="1:7">
      <c r="A71" s="23">
        <v>1</v>
      </c>
      <c r="B71" t="s">
        <v>95</v>
      </c>
      <c r="E71" s="23">
        <v>0</v>
      </c>
      <c r="F71" s="25">
        <v>0</v>
      </c>
      <c r="G71" s="23">
        <f t="shared" si="1"/>
        <v>0</v>
      </c>
    </row>
    <row r="72" spans="1:7">
      <c r="A72" s="23">
        <v>3</v>
      </c>
      <c r="B72" t="s">
        <v>96</v>
      </c>
      <c r="E72" s="23">
        <v>0</v>
      </c>
      <c r="F72" s="25">
        <v>0</v>
      </c>
      <c r="G72" s="23">
        <f t="shared" si="1"/>
        <v>0</v>
      </c>
    </row>
    <row r="73" spans="1:7">
      <c r="A73" s="30">
        <v>4</v>
      </c>
      <c r="B73" t="s">
        <v>97</v>
      </c>
      <c r="E73" s="30">
        <v>2</v>
      </c>
      <c r="F73" s="30">
        <v>18</v>
      </c>
      <c r="G73" s="23">
        <f t="shared" si="1"/>
        <v>16</v>
      </c>
    </row>
    <row r="74" spans="1:7">
      <c r="A74" s="23">
        <v>1</v>
      </c>
      <c r="B74" t="s">
        <v>98</v>
      </c>
      <c r="E74" s="23">
        <v>0</v>
      </c>
      <c r="F74" s="25">
        <v>21</v>
      </c>
      <c r="G74" s="23">
        <f t="shared" si="1"/>
        <v>21</v>
      </c>
    </row>
    <row r="75" spans="1:7">
      <c r="A75" s="23">
        <v>3</v>
      </c>
      <c r="B75" s="48" t="s">
        <v>99</v>
      </c>
      <c r="E75" s="23">
        <v>0</v>
      </c>
      <c r="F75" s="25">
        <v>1</v>
      </c>
      <c r="G75" s="23">
        <f t="shared" si="1"/>
        <v>1</v>
      </c>
    </row>
    <row r="76" spans="1:7">
      <c r="A76" s="23">
        <v>2</v>
      </c>
      <c r="B76" t="s">
        <v>100</v>
      </c>
      <c r="E76" s="23">
        <v>1</v>
      </c>
      <c r="F76" s="25">
        <v>4</v>
      </c>
      <c r="G76" s="23">
        <f t="shared" si="1"/>
        <v>3</v>
      </c>
    </row>
    <row r="77" spans="1:7">
      <c r="A77" s="23">
        <v>1</v>
      </c>
      <c r="B77" t="s">
        <v>101</v>
      </c>
      <c r="E77" s="23">
        <v>0</v>
      </c>
      <c r="F77" s="25">
        <v>2</v>
      </c>
      <c r="G77" s="23">
        <f t="shared" si="1"/>
        <v>2</v>
      </c>
    </row>
    <row r="78" spans="1:7">
      <c r="A78" s="23">
        <v>3</v>
      </c>
      <c r="B78" t="s">
        <v>102</v>
      </c>
      <c r="E78" s="23">
        <v>2</v>
      </c>
      <c r="F78" s="25">
        <v>12</v>
      </c>
      <c r="G78" s="23">
        <f t="shared" si="1"/>
        <v>10</v>
      </c>
    </row>
    <row r="79" spans="1:7">
      <c r="A79" s="30">
        <v>4</v>
      </c>
      <c r="B79" s="48" t="s">
        <v>103</v>
      </c>
      <c r="E79" s="30">
        <v>2</v>
      </c>
      <c r="F79" s="30">
        <v>24</v>
      </c>
      <c r="G79" s="23">
        <f t="shared" si="1"/>
        <v>22</v>
      </c>
    </row>
    <row r="80" spans="1:7">
      <c r="A80" s="23">
        <v>2</v>
      </c>
      <c r="B80" t="s">
        <v>104</v>
      </c>
      <c r="E80" s="23">
        <v>2</v>
      </c>
      <c r="F80" s="25">
        <v>13</v>
      </c>
      <c r="G80" s="23">
        <f t="shared" si="1"/>
        <v>11</v>
      </c>
    </row>
    <row r="81" spans="1:7">
      <c r="A81" s="30">
        <v>4</v>
      </c>
      <c r="B81" s="24" t="s">
        <v>105</v>
      </c>
      <c r="E81" s="30">
        <v>1</v>
      </c>
      <c r="F81" s="30">
        <v>16</v>
      </c>
      <c r="G81" s="23">
        <f t="shared" si="1"/>
        <v>15</v>
      </c>
    </row>
  </sheetData>
  <autoFilter xmlns:etc="http://www.wps.cn/officeDocument/2017/etCustomData" ref="A1:I81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X39"/>
  <sheetViews>
    <sheetView topLeftCell="A26" workbookViewId="0">
      <selection activeCell="K32" sqref="K32:N39"/>
    </sheetView>
  </sheetViews>
  <sheetFormatPr defaultColWidth="8.88888888888889" defaultRowHeight="14.4"/>
  <sheetData>
    <row r="1" ht="15.9" customHeight="1"/>
    <row r="2" ht="36.75" spans="4:24">
      <c r="D2" s="7" t="s">
        <v>175</v>
      </c>
      <c r="E2" s="7" t="s">
        <v>176</v>
      </c>
      <c r="F2" s="7" t="s">
        <v>177</v>
      </c>
      <c r="G2" s="7"/>
      <c r="H2" s="7"/>
      <c r="I2" s="7"/>
    </row>
    <row r="3" ht="15.15" spans="4:24">
      <c r="D3" s="8"/>
      <c r="E3" s="8"/>
      <c r="F3" s="8" t="s">
        <v>178</v>
      </c>
      <c r="G3" s="7" t="s">
        <v>179</v>
      </c>
      <c r="H3" s="7" t="s">
        <v>180</v>
      </c>
      <c r="I3" s="7" t="s">
        <v>181</v>
      </c>
    </row>
    <row r="4" ht="24" spans="4:24">
      <c r="D4" s="9" t="s">
        <v>182</v>
      </c>
      <c r="E4" s="10" t="s">
        <v>160</v>
      </c>
      <c r="F4" s="10" t="s">
        <v>183</v>
      </c>
      <c r="G4" s="10" t="s">
        <v>184</v>
      </c>
      <c r="H4" s="10" t="s">
        <v>185</v>
      </c>
      <c r="I4" s="10" t="s">
        <v>186</v>
      </c>
    </row>
    <row r="5" ht="49.8" spans="4:24">
      <c r="D5" s="9"/>
      <c r="E5" s="10" t="s">
        <v>161</v>
      </c>
      <c r="F5" s="10" t="s">
        <v>187</v>
      </c>
      <c r="G5" s="10" t="s">
        <v>188</v>
      </c>
      <c r="H5" s="10" t="s">
        <v>189</v>
      </c>
      <c r="I5" s="10" t="s">
        <v>190</v>
      </c>
    </row>
    <row r="6" ht="24" spans="4:24">
      <c r="D6" s="9" t="s">
        <v>191</v>
      </c>
      <c r="E6" s="10" t="s">
        <v>160</v>
      </c>
      <c r="F6" s="10" t="s">
        <v>192</v>
      </c>
      <c r="G6" s="10" t="s">
        <v>193</v>
      </c>
      <c r="H6" s="10" t="s">
        <v>194</v>
      </c>
      <c r="I6" s="10" t="s">
        <v>195</v>
      </c>
    </row>
    <row r="7" ht="24" spans="4:24">
      <c r="D7" s="9"/>
      <c r="E7" s="10" t="s">
        <v>161</v>
      </c>
      <c r="F7" s="10" t="s">
        <v>196</v>
      </c>
      <c r="G7" s="10" t="s">
        <v>197</v>
      </c>
      <c r="H7" s="10" t="s">
        <v>198</v>
      </c>
      <c r="I7" s="10" t="s">
        <v>199</v>
      </c>
    </row>
    <row r="8" ht="36" spans="4:24">
      <c r="D8" s="9" t="s">
        <v>200</v>
      </c>
      <c r="E8" s="10" t="s">
        <v>160</v>
      </c>
      <c r="F8" s="10" t="s">
        <v>201</v>
      </c>
      <c r="G8" s="10" t="s">
        <v>202</v>
      </c>
      <c r="H8" s="10" t="s">
        <v>203</v>
      </c>
      <c r="I8" s="10" t="s">
        <v>204</v>
      </c>
      <c r="L8" s="1" t="s">
        <v>205</v>
      </c>
      <c r="M8" s="2" t="s">
        <v>160</v>
      </c>
      <c r="N8" s="2" t="s">
        <v>206</v>
      </c>
      <c r="O8" s="2" t="s">
        <v>207</v>
      </c>
      <c r="P8" s="2" t="s">
        <v>208</v>
      </c>
      <c r="Q8" s="2" t="s">
        <v>209</v>
      </c>
      <c r="R8" s="2">
        <v>4.466</v>
      </c>
      <c r="S8" s="2">
        <v>0.215</v>
      </c>
      <c r="U8" s="1" t="s">
        <v>205</v>
      </c>
      <c r="V8" s="1"/>
      <c r="W8" s="1" t="s">
        <v>210</v>
      </c>
      <c r="X8" s="1"/>
    </row>
    <row r="9" ht="49.8" spans="4:24">
      <c r="D9" s="9"/>
      <c r="E9" s="10" t="s">
        <v>161</v>
      </c>
      <c r="F9" s="10" t="s">
        <v>211</v>
      </c>
      <c r="G9" s="10" t="s">
        <v>212</v>
      </c>
      <c r="H9" s="10" t="s">
        <v>213</v>
      </c>
      <c r="I9" s="10" t="s">
        <v>214</v>
      </c>
      <c r="L9" s="1"/>
      <c r="M9" s="2" t="s">
        <v>161</v>
      </c>
      <c r="N9" s="2" t="s">
        <v>215</v>
      </c>
      <c r="O9" s="2" t="s">
        <v>216</v>
      </c>
      <c r="P9" s="2" t="s">
        <v>217</v>
      </c>
      <c r="Q9" s="2" t="s">
        <v>218</v>
      </c>
      <c r="R9" s="2">
        <v>4.151</v>
      </c>
      <c r="S9" s="2">
        <v>0.015</v>
      </c>
      <c r="U9" s="2" t="s">
        <v>160</v>
      </c>
      <c r="V9" s="2" t="s">
        <v>161</v>
      </c>
      <c r="W9" s="2" t="s">
        <v>160</v>
      </c>
      <c r="X9" s="2" t="s">
        <v>161</v>
      </c>
    </row>
    <row r="10" ht="24" spans="4:24">
      <c r="D10" s="9" t="s">
        <v>219</v>
      </c>
      <c r="E10" s="10" t="s">
        <v>160</v>
      </c>
      <c r="F10" s="10" t="s">
        <v>220</v>
      </c>
      <c r="G10" s="10" t="s">
        <v>221</v>
      </c>
      <c r="H10" s="10" t="s">
        <v>222</v>
      </c>
      <c r="I10" s="10" t="s">
        <v>223</v>
      </c>
      <c r="L10" s="1"/>
      <c r="M10" s="2" t="s">
        <v>224</v>
      </c>
      <c r="N10" s="2">
        <v>-0.56</v>
      </c>
      <c r="O10" s="2">
        <v>-0.84</v>
      </c>
      <c r="P10" s="2">
        <v>-0.14</v>
      </c>
      <c r="Q10" s="2">
        <v>-0.98</v>
      </c>
      <c r="R10" s="2"/>
      <c r="S10" s="2"/>
      <c r="U10" s="2" t="s">
        <v>206</v>
      </c>
      <c r="V10" s="2" t="s">
        <v>215</v>
      </c>
      <c r="W10" s="2" t="s">
        <v>225</v>
      </c>
      <c r="X10" s="2" t="s">
        <v>226</v>
      </c>
    </row>
    <row r="11" ht="36" spans="4:24">
      <c r="D11" s="9"/>
      <c r="E11" s="10" t="s">
        <v>161</v>
      </c>
      <c r="F11" s="10" t="s">
        <v>227</v>
      </c>
      <c r="G11" s="10" t="s">
        <v>228</v>
      </c>
      <c r="H11" s="10" t="s">
        <v>229</v>
      </c>
      <c r="I11" s="10" t="s">
        <v>230</v>
      </c>
      <c r="L11" s="1"/>
      <c r="M11" s="2" t="s">
        <v>231</v>
      </c>
      <c r="N11" s="2">
        <v>0.575</v>
      </c>
      <c r="O11" s="2">
        <v>0.401</v>
      </c>
      <c r="P11" s="2">
        <v>0.889</v>
      </c>
      <c r="Q11" s="2">
        <v>0.327</v>
      </c>
      <c r="R11" s="2"/>
      <c r="S11" s="2"/>
      <c r="U11" s="2" t="s">
        <v>207</v>
      </c>
      <c r="V11" s="2" t="s">
        <v>216</v>
      </c>
      <c r="W11" s="2" t="s">
        <v>232</v>
      </c>
      <c r="X11" s="2" t="s">
        <v>233</v>
      </c>
    </row>
    <row r="12" ht="24" spans="4:24">
      <c r="D12" s="9" t="s">
        <v>234</v>
      </c>
      <c r="E12" s="10" t="s">
        <v>160</v>
      </c>
      <c r="F12" s="10" t="s">
        <v>235</v>
      </c>
      <c r="G12" s="10" t="s">
        <v>236</v>
      </c>
      <c r="H12" s="10" t="s">
        <v>237</v>
      </c>
      <c r="I12" s="10" t="s">
        <v>238</v>
      </c>
      <c r="L12" s="1" t="s">
        <v>210</v>
      </c>
      <c r="M12" s="2" t="s">
        <v>160</v>
      </c>
      <c r="N12" s="2" t="s">
        <v>225</v>
      </c>
      <c r="O12" s="2" t="s">
        <v>232</v>
      </c>
      <c r="P12" s="2" t="s">
        <v>239</v>
      </c>
      <c r="Q12" s="2" t="s">
        <v>240</v>
      </c>
      <c r="R12" s="2">
        <v>0.661</v>
      </c>
      <c r="S12" s="2">
        <v>0.583</v>
      </c>
      <c r="U12" s="2" t="s">
        <v>208</v>
      </c>
      <c r="V12" s="2" t="s">
        <v>217</v>
      </c>
      <c r="W12" s="2" t="s">
        <v>239</v>
      </c>
      <c r="X12" s="2" t="s">
        <v>241</v>
      </c>
    </row>
    <row r="13" ht="37.8" spans="4:24">
      <c r="D13" s="9"/>
      <c r="E13" s="10" t="s">
        <v>161</v>
      </c>
      <c r="F13" s="10" t="s">
        <v>242</v>
      </c>
      <c r="G13" s="10" t="s">
        <v>243</v>
      </c>
      <c r="H13" s="10" t="s">
        <v>244</v>
      </c>
      <c r="I13" s="10" t="s">
        <v>245</v>
      </c>
      <c r="L13" s="1"/>
      <c r="M13" s="2" t="s">
        <v>161</v>
      </c>
      <c r="N13" s="2" t="s">
        <v>226</v>
      </c>
      <c r="O13" s="2" t="s">
        <v>233</v>
      </c>
      <c r="P13" s="2" t="s">
        <v>241</v>
      </c>
      <c r="Q13" s="2" t="s">
        <v>246</v>
      </c>
      <c r="R13" s="2">
        <v>0.262</v>
      </c>
      <c r="S13" s="2">
        <v>0.852</v>
      </c>
      <c r="U13" s="2" t="s">
        <v>209</v>
      </c>
      <c r="V13" s="2" t="s">
        <v>218</v>
      </c>
      <c r="W13" s="2" t="s">
        <v>240</v>
      </c>
      <c r="X13" s="2" t="s">
        <v>246</v>
      </c>
    </row>
    <row r="14" ht="36" spans="4:24">
      <c r="D14" s="9" t="s">
        <v>247</v>
      </c>
      <c r="E14" s="10" t="s">
        <v>160</v>
      </c>
      <c r="F14" s="10" t="s">
        <v>248</v>
      </c>
      <c r="G14" s="10" t="s">
        <v>249</v>
      </c>
      <c r="H14" s="10" t="s">
        <v>250</v>
      </c>
      <c r="I14" s="10" t="s">
        <v>251</v>
      </c>
      <c r="L14" s="1"/>
      <c r="M14" s="2" t="s">
        <v>252</v>
      </c>
      <c r="N14" s="2">
        <v>0.751</v>
      </c>
      <c r="O14" s="2">
        <v>-1.588</v>
      </c>
      <c r="P14" s="2">
        <v>0.814</v>
      </c>
      <c r="Q14" s="2">
        <v>0.726</v>
      </c>
      <c r="R14" s="2"/>
      <c r="S14" s="2"/>
      <c r="U14" s="2">
        <v>4.466</v>
      </c>
      <c r="V14" s="2">
        <v>4.151</v>
      </c>
      <c r="W14" s="2">
        <v>0.661</v>
      </c>
      <c r="X14" s="2">
        <v>0.262</v>
      </c>
    </row>
    <row r="15" ht="24.75" spans="4:24">
      <c r="D15" s="9"/>
      <c r="E15" s="10" t="s">
        <v>161</v>
      </c>
      <c r="F15" s="10" t="s">
        <v>253</v>
      </c>
      <c r="G15" s="10" t="s">
        <v>254</v>
      </c>
      <c r="H15" s="10" t="s">
        <v>255</v>
      </c>
      <c r="I15" s="10" t="s">
        <v>256</v>
      </c>
      <c r="L15" s="11"/>
      <c r="M15" s="11" t="s">
        <v>231</v>
      </c>
      <c r="N15" s="11">
        <v>0.481</v>
      </c>
      <c r="O15" s="11">
        <v>0.156</v>
      </c>
      <c r="P15" s="11">
        <v>0.442</v>
      </c>
      <c r="Q15" s="11">
        <v>0.491</v>
      </c>
      <c r="R15" s="11"/>
      <c r="S15" s="12"/>
      <c r="U15" s="2">
        <v>0.215</v>
      </c>
      <c r="V15" s="2">
        <v>0.015</v>
      </c>
      <c r="W15" s="2">
        <v>0.583</v>
      </c>
      <c r="X15" s="2">
        <v>0.852</v>
      </c>
    </row>
    <row r="16" ht="24" spans="4:24">
      <c r="D16" s="9" t="s">
        <v>205</v>
      </c>
      <c r="E16" s="10" t="s">
        <v>160</v>
      </c>
      <c r="F16" s="10" t="s">
        <v>206</v>
      </c>
      <c r="G16" s="10" t="s">
        <v>207</v>
      </c>
      <c r="H16" s="10" t="s">
        <v>208</v>
      </c>
      <c r="I16" s="10" t="s">
        <v>209</v>
      </c>
    </row>
    <row r="17" ht="37.8" spans="4:22">
      <c r="D17" s="9"/>
      <c r="E17" s="10" t="s">
        <v>161</v>
      </c>
      <c r="F17" s="10" t="s">
        <v>257</v>
      </c>
      <c r="G17" s="10" t="s">
        <v>258</v>
      </c>
      <c r="H17" s="10" t="s">
        <v>259</v>
      </c>
      <c r="I17" s="10" t="s">
        <v>260</v>
      </c>
    </row>
    <row r="18" ht="24" spans="4:22">
      <c r="D18" s="9" t="s">
        <v>210</v>
      </c>
      <c r="E18" s="10" t="s">
        <v>160</v>
      </c>
      <c r="F18" s="10" t="s">
        <v>225</v>
      </c>
      <c r="G18" s="10" t="s">
        <v>232</v>
      </c>
      <c r="H18" s="10" t="s">
        <v>239</v>
      </c>
      <c r="I18" s="10" t="s">
        <v>240</v>
      </c>
    </row>
    <row r="19" ht="24.75" spans="4:22">
      <c r="D19" s="13"/>
      <c r="E19" s="14" t="s">
        <v>161</v>
      </c>
      <c r="F19" s="14" t="s">
        <v>226</v>
      </c>
      <c r="G19" s="14" t="s">
        <v>233</v>
      </c>
      <c r="H19" s="14" t="s">
        <v>241</v>
      </c>
      <c r="I19" s="14" t="s">
        <v>246</v>
      </c>
    </row>
    <row r="22" ht="15.15"/>
    <row r="23" spans="4:22">
      <c r="E23" s="15"/>
      <c r="F23" s="16" t="s">
        <v>175</v>
      </c>
      <c r="G23" s="17" t="s">
        <v>182</v>
      </c>
      <c r="H23" s="17"/>
      <c r="I23" s="17" t="s">
        <v>191</v>
      </c>
      <c r="J23" s="17"/>
      <c r="K23" s="17" t="s">
        <v>200</v>
      </c>
      <c r="L23" s="17"/>
      <c r="M23" s="17" t="s">
        <v>219</v>
      </c>
      <c r="N23" s="17"/>
      <c r="O23" s="17" t="s">
        <v>234</v>
      </c>
      <c r="P23" s="17"/>
      <c r="Q23" s="17" t="s">
        <v>247</v>
      </c>
      <c r="R23" s="17"/>
      <c r="S23" s="17" t="s">
        <v>205</v>
      </c>
      <c r="T23" s="17"/>
      <c r="U23" s="17" t="s">
        <v>210</v>
      </c>
      <c r="V23" s="17"/>
    </row>
    <row r="24" ht="15.15" spans="4:22">
      <c r="E24" s="18"/>
      <c r="F24" s="14" t="s">
        <v>261</v>
      </c>
      <c r="G24" s="14" t="s">
        <v>160</v>
      </c>
      <c r="H24" s="14" t="s">
        <v>161</v>
      </c>
      <c r="I24" s="14" t="s">
        <v>160</v>
      </c>
      <c r="J24" s="14" t="s">
        <v>161</v>
      </c>
      <c r="K24" s="14" t="s">
        <v>160</v>
      </c>
      <c r="L24" s="14" t="s">
        <v>161</v>
      </c>
      <c r="M24" s="14" t="s">
        <v>160</v>
      </c>
      <c r="N24" s="14" t="s">
        <v>161</v>
      </c>
      <c r="O24" s="14" t="s">
        <v>160</v>
      </c>
      <c r="P24" s="14" t="s">
        <v>161</v>
      </c>
      <c r="Q24" s="14" t="s">
        <v>160</v>
      </c>
      <c r="R24" s="14" t="s">
        <v>161</v>
      </c>
      <c r="S24" s="14" t="s">
        <v>160</v>
      </c>
      <c r="T24" s="14" t="s">
        <v>161</v>
      </c>
      <c r="U24" s="14" t="s">
        <v>160</v>
      </c>
      <c r="V24" s="14" t="s">
        <v>161</v>
      </c>
    </row>
    <row r="25" ht="49.8" spans="4:22">
      <c r="E25" s="19" t="s">
        <v>177</v>
      </c>
      <c r="F25" s="19" t="s">
        <v>178</v>
      </c>
      <c r="G25" s="19" t="s">
        <v>183</v>
      </c>
      <c r="H25" s="19" t="s">
        <v>187</v>
      </c>
      <c r="I25" s="19" t="s">
        <v>192</v>
      </c>
      <c r="J25" s="19" t="s">
        <v>196</v>
      </c>
      <c r="K25" s="19" t="s">
        <v>201</v>
      </c>
      <c r="L25" s="19" t="s">
        <v>211</v>
      </c>
      <c r="M25" s="19" t="s">
        <v>220</v>
      </c>
      <c r="N25" s="19" t="s">
        <v>227</v>
      </c>
      <c r="O25" s="19" t="s">
        <v>235</v>
      </c>
      <c r="P25" s="19" t="s">
        <v>242</v>
      </c>
      <c r="Q25" s="19" t="s">
        <v>248</v>
      </c>
      <c r="R25" s="19" t="s">
        <v>253</v>
      </c>
      <c r="S25" s="19" t="s">
        <v>206</v>
      </c>
      <c r="T25" s="19" t="s">
        <v>257</v>
      </c>
      <c r="U25" s="19" t="s">
        <v>225</v>
      </c>
      <c r="V25" s="19" t="s">
        <v>226</v>
      </c>
    </row>
    <row r="26" ht="37.8" spans="4:22">
      <c r="E26" s="19"/>
      <c r="F26" s="19" t="s">
        <v>179</v>
      </c>
      <c r="G26" s="19" t="s">
        <v>184</v>
      </c>
      <c r="H26" s="19" t="s">
        <v>188</v>
      </c>
      <c r="I26" s="19" t="s">
        <v>193</v>
      </c>
      <c r="J26" s="19" t="s">
        <v>197</v>
      </c>
      <c r="K26" s="19" t="s">
        <v>202</v>
      </c>
      <c r="L26" s="19" t="s">
        <v>212</v>
      </c>
      <c r="M26" s="19" t="s">
        <v>221</v>
      </c>
      <c r="N26" s="19" t="s">
        <v>228</v>
      </c>
      <c r="O26" s="19" t="s">
        <v>236</v>
      </c>
      <c r="P26" s="19" t="s">
        <v>243</v>
      </c>
      <c r="Q26" s="19" t="s">
        <v>249</v>
      </c>
      <c r="R26" s="19" t="s">
        <v>254</v>
      </c>
      <c r="S26" s="19" t="s">
        <v>207</v>
      </c>
      <c r="T26" s="19" t="s">
        <v>258</v>
      </c>
      <c r="U26" s="19" t="s">
        <v>232</v>
      </c>
      <c r="V26" s="19" t="s">
        <v>233</v>
      </c>
    </row>
    <row r="27" ht="37.8" spans="4:22">
      <c r="E27" s="19"/>
      <c r="F27" s="19" t="s">
        <v>180</v>
      </c>
      <c r="G27" s="19" t="s">
        <v>185</v>
      </c>
      <c r="H27" s="19" t="s">
        <v>189</v>
      </c>
      <c r="I27" s="19" t="s">
        <v>194</v>
      </c>
      <c r="J27" s="19" t="s">
        <v>198</v>
      </c>
      <c r="K27" s="19" t="s">
        <v>203</v>
      </c>
      <c r="L27" s="19" t="s">
        <v>213</v>
      </c>
      <c r="M27" s="19" t="s">
        <v>222</v>
      </c>
      <c r="N27" s="19" t="s">
        <v>229</v>
      </c>
      <c r="O27" s="19" t="s">
        <v>237</v>
      </c>
      <c r="P27" s="19" t="s">
        <v>244</v>
      </c>
      <c r="Q27" s="19" t="s">
        <v>250</v>
      </c>
      <c r="R27" s="19" t="s">
        <v>255</v>
      </c>
      <c r="S27" s="19" t="s">
        <v>208</v>
      </c>
      <c r="T27" s="19" t="s">
        <v>259</v>
      </c>
      <c r="U27" s="19" t="s">
        <v>239</v>
      </c>
      <c r="V27" s="19" t="s">
        <v>241</v>
      </c>
    </row>
    <row r="28" ht="37.8" spans="4:22">
      <c r="E28" s="19"/>
      <c r="F28" s="19" t="s">
        <v>181</v>
      </c>
      <c r="G28" s="19" t="s">
        <v>186</v>
      </c>
      <c r="H28" s="19" t="s">
        <v>190</v>
      </c>
      <c r="I28" s="19" t="s">
        <v>195</v>
      </c>
      <c r="J28" s="19" t="s">
        <v>199</v>
      </c>
      <c r="K28" s="19" t="s">
        <v>204</v>
      </c>
      <c r="L28" s="19" t="s">
        <v>214</v>
      </c>
      <c r="M28" s="19" t="s">
        <v>223</v>
      </c>
      <c r="N28" s="19" t="s">
        <v>230</v>
      </c>
      <c r="O28" s="19" t="s">
        <v>238</v>
      </c>
      <c r="P28" s="19" t="s">
        <v>245</v>
      </c>
      <c r="Q28" s="19" t="s">
        <v>251</v>
      </c>
      <c r="R28" s="19" t="s">
        <v>256</v>
      </c>
      <c r="S28" s="19" t="s">
        <v>209</v>
      </c>
      <c r="T28" s="19" t="s">
        <v>260</v>
      </c>
      <c r="U28" s="19" t="s">
        <v>240</v>
      </c>
      <c r="V28" s="19" t="s">
        <v>246</v>
      </c>
    </row>
    <row r="29" spans="4:22">
      <c r="E29" s="20"/>
      <c r="F29" s="20"/>
      <c r="G29" s="21">
        <v>0.865</v>
      </c>
      <c r="H29" s="21">
        <v>9.105</v>
      </c>
      <c r="I29" s="21">
        <v>1.762</v>
      </c>
      <c r="J29" s="21">
        <v>1.339</v>
      </c>
      <c r="K29" s="21">
        <v>2.702</v>
      </c>
      <c r="L29" s="21">
        <v>9.872</v>
      </c>
      <c r="M29" s="21">
        <v>1.762</v>
      </c>
      <c r="N29" s="21">
        <v>4.372</v>
      </c>
      <c r="O29" s="21">
        <v>0.293</v>
      </c>
      <c r="P29" s="21">
        <v>4.961</v>
      </c>
      <c r="Q29" s="21">
        <v>3.886</v>
      </c>
      <c r="R29" s="21">
        <v>1.126</v>
      </c>
      <c r="S29" s="21">
        <v>4.466</v>
      </c>
      <c r="T29" s="21">
        <v>4.151</v>
      </c>
      <c r="U29" s="21">
        <v>0.661</v>
      </c>
      <c r="V29" s="21">
        <v>0.262</v>
      </c>
    </row>
    <row r="30" ht="15.15" spans="4:22">
      <c r="E30" s="6"/>
      <c r="F30" s="6"/>
      <c r="G30" s="5">
        <v>0.471</v>
      </c>
      <c r="H30" s="5">
        <v>0.028</v>
      </c>
      <c r="I30" s="5">
        <v>0.177</v>
      </c>
      <c r="J30" s="5">
        <v>0.282</v>
      </c>
      <c r="K30" s="5">
        <v>0.44</v>
      </c>
      <c r="L30" s="5">
        <v>0.02</v>
      </c>
      <c r="M30" s="5">
        <v>0.177</v>
      </c>
      <c r="N30" s="5">
        <v>0.224</v>
      </c>
      <c r="O30" s="5">
        <v>0.83</v>
      </c>
      <c r="P30" s="5">
        <v>0.007</v>
      </c>
      <c r="Q30" s="5">
        <v>0.274</v>
      </c>
      <c r="R30" s="5">
        <v>0.355</v>
      </c>
      <c r="S30" s="5">
        <v>0.215</v>
      </c>
      <c r="T30" s="5">
        <v>0.015</v>
      </c>
      <c r="U30" s="5">
        <v>0.583</v>
      </c>
      <c r="V30" s="5">
        <v>0.852</v>
      </c>
    </row>
    <row r="31" ht="15.15"/>
    <row r="32" spans="4:22">
      <c r="E32" s="15"/>
      <c r="F32" s="16" t="s">
        <v>175</v>
      </c>
      <c r="G32" s="17" t="s">
        <v>234</v>
      </c>
      <c r="H32" s="17"/>
      <c r="I32" s="17" t="s">
        <v>247</v>
      </c>
      <c r="J32" s="17"/>
      <c r="K32" s="17" t="s">
        <v>205</v>
      </c>
      <c r="L32" s="17"/>
      <c r="M32" s="17" t="s">
        <v>210</v>
      </c>
      <c r="N32" s="17"/>
    </row>
    <row r="33" ht="15.15" spans="5:14">
      <c r="E33" s="18"/>
      <c r="F33" s="14" t="s">
        <v>261</v>
      </c>
      <c r="G33" s="14" t="s">
        <v>160</v>
      </c>
      <c r="H33" s="14" t="s">
        <v>161</v>
      </c>
      <c r="I33" s="14" t="s">
        <v>160</v>
      </c>
      <c r="J33" s="14" t="s">
        <v>161</v>
      </c>
      <c r="K33" s="14" t="s">
        <v>160</v>
      </c>
      <c r="L33" s="14" t="s">
        <v>161</v>
      </c>
      <c r="M33" s="14" t="s">
        <v>160</v>
      </c>
      <c r="N33" s="14" t="s">
        <v>161</v>
      </c>
    </row>
    <row r="34" ht="37.8" spans="5:14">
      <c r="E34" s="19" t="s">
        <v>177</v>
      </c>
      <c r="F34" s="19" t="s">
        <v>178</v>
      </c>
      <c r="G34" s="19" t="s">
        <v>235</v>
      </c>
      <c r="H34" s="19" t="s">
        <v>242</v>
      </c>
      <c r="I34" s="19" t="s">
        <v>248</v>
      </c>
      <c r="J34" s="19" t="s">
        <v>253</v>
      </c>
      <c r="K34" s="19" t="s">
        <v>206</v>
      </c>
      <c r="L34" s="19" t="s">
        <v>257</v>
      </c>
      <c r="M34" s="19" t="s">
        <v>225</v>
      </c>
      <c r="N34" s="19" t="s">
        <v>226</v>
      </c>
    </row>
    <row r="35" ht="36" spans="5:14">
      <c r="E35" s="19"/>
      <c r="F35" s="19" t="s">
        <v>179</v>
      </c>
      <c r="G35" s="19" t="s">
        <v>236</v>
      </c>
      <c r="H35" s="19" t="s">
        <v>243</v>
      </c>
      <c r="I35" s="19" t="s">
        <v>249</v>
      </c>
      <c r="J35" s="19" t="s">
        <v>254</v>
      </c>
      <c r="K35" s="19" t="s">
        <v>207</v>
      </c>
      <c r="L35" s="19" t="s">
        <v>258</v>
      </c>
      <c r="M35" s="19" t="s">
        <v>232</v>
      </c>
      <c r="N35" s="19" t="s">
        <v>233</v>
      </c>
    </row>
    <row r="36" ht="25.8" spans="5:14">
      <c r="E36" s="19"/>
      <c r="F36" s="19" t="s">
        <v>180</v>
      </c>
      <c r="G36" s="19" t="s">
        <v>237</v>
      </c>
      <c r="H36" s="19" t="s">
        <v>244</v>
      </c>
      <c r="I36" s="19" t="s">
        <v>250</v>
      </c>
      <c r="J36" s="19" t="s">
        <v>255</v>
      </c>
      <c r="K36" s="19" t="s">
        <v>208</v>
      </c>
      <c r="L36" s="19" t="s">
        <v>259</v>
      </c>
      <c r="M36" s="19" t="s">
        <v>239</v>
      </c>
      <c r="N36" s="19" t="s">
        <v>241</v>
      </c>
    </row>
    <row r="37" ht="36" spans="5:14">
      <c r="E37" s="19"/>
      <c r="F37" s="19" t="s">
        <v>181</v>
      </c>
      <c r="G37" s="19" t="s">
        <v>238</v>
      </c>
      <c r="H37" s="19" t="s">
        <v>245</v>
      </c>
      <c r="I37" s="19" t="s">
        <v>251</v>
      </c>
      <c r="J37" s="19" t="s">
        <v>256</v>
      </c>
      <c r="K37" s="19" t="s">
        <v>209</v>
      </c>
      <c r="L37" s="19" t="s">
        <v>260</v>
      </c>
      <c r="M37" s="19" t="s">
        <v>240</v>
      </c>
      <c r="N37" s="19" t="s">
        <v>246</v>
      </c>
    </row>
    <row r="38" spans="5:14">
      <c r="E38" s="20"/>
      <c r="F38" s="20"/>
      <c r="G38" s="21">
        <v>0.293</v>
      </c>
      <c r="H38" s="21">
        <v>4.961</v>
      </c>
      <c r="I38" s="21">
        <v>3.886</v>
      </c>
      <c r="J38" s="21">
        <v>1.126</v>
      </c>
      <c r="K38" s="21">
        <v>4.466</v>
      </c>
      <c r="L38" s="21">
        <v>4.151</v>
      </c>
      <c r="M38" s="21">
        <v>0.661</v>
      </c>
      <c r="N38" s="21">
        <v>0.262</v>
      </c>
    </row>
    <row r="39" ht="15.15" spans="5:14">
      <c r="E39" s="6"/>
      <c r="F39" s="6"/>
      <c r="G39" s="5">
        <v>0.83</v>
      </c>
      <c r="H39" s="5">
        <v>0.007</v>
      </c>
      <c r="I39" s="5">
        <v>0.274</v>
      </c>
      <c r="J39" s="5">
        <v>0.355</v>
      </c>
      <c r="K39" s="5">
        <v>0.215</v>
      </c>
      <c r="L39" s="5">
        <v>0.015</v>
      </c>
      <c r="M39" s="5">
        <v>0.583</v>
      </c>
      <c r="N39" s="5">
        <v>0.852</v>
      </c>
    </row>
  </sheetData>
  <mergeCells count="15">
    <mergeCell ref="F2:I2"/>
    <mergeCell ref="G23:H23"/>
    <mergeCell ref="I23:J23"/>
    <mergeCell ref="K23:L23"/>
    <mergeCell ref="M23:N23"/>
    <mergeCell ref="O23:P23"/>
    <mergeCell ref="Q23:R23"/>
    <mergeCell ref="S23:T23"/>
    <mergeCell ref="U23:V23"/>
    <mergeCell ref="G32:H32"/>
    <mergeCell ref="I32:J32"/>
    <mergeCell ref="K32:L32"/>
    <mergeCell ref="M32:N32"/>
    <mergeCell ref="E25:E28"/>
    <mergeCell ref="E34:E3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24"/>
  <sheetViews>
    <sheetView topLeftCell="J1" workbookViewId="0">
      <selection activeCell="M7" sqref="M7:X8"/>
    </sheetView>
  </sheetViews>
  <sheetFormatPr defaultColWidth="8.88888888888889" defaultRowHeight="14.4"/>
  <sheetData>
    <row r="1" spans="2:24">
      <c r="B1" s="1" t="s">
        <v>182</v>
      </c>
      <c r="C1" s="2" t="s">
        <v>160</v>
      </c>
      <c r="D1" s="2" t="s">
        <v>183</v>
      </c>
      <c r="E1" s="2" t="s">
        <v>184</v>
      </c>
      <c r="F1" s="2" t="s">
        <v>185</v>
      </c>
      <c r="G1" s="2" t="s">
        <v>186</v>
      </c>
      <c r="H1" s="2">
        <v>0.865</v>
      </c>
      <c r="I1" s="2">
        <v>0.471</v>
      </c>
      <c r="M1" s="1" t="s">
        <v>182</v>
      </c>
      <c r="N1" s="1"/>
      <c r="O1" s="1" t="s">
        <v>191</v>
      </c>
      <c r="P1" s="1"/>
      <c r="Q1" s="1" t="s">
        <v>200</v>
      </c>
      <c r="R1" s="1"/>
      <c r="S1" s="1" t="s">
        <v>219</v>
      </c>
      <c r="T1" s="1"/>
      <c r="U1" s="1" t="s">
        <v>234</v>
      </c>
      <c r="V1" s="1"/>
      <c r="W1" s="1" t="s">
        <v>247</v>
      </c>
      <c r="X1" s="1"/>
    </row>
    <row r="2" spans="2:24">
      <c r="B2" s="1"/>
      <c r="C2" s="2" t="s">
        <v>161</v>
      </c>
      <c r="D2" s="2" t="s">
        <v>262</v>
      </c>
      <c r="E2" s="2" t="s">
        <v>263</v>
      </c>
      <c r="F2" s="2" t="s">
        <v>264</v>
      </c>
      <c r="G2" s="2" t="s">
        <v>265</v>
      </c>
      <c r="H2" s="2">
        <v>9.105</v>
      </c>
      <c r="I2" s="2">
        <v>0.028</v>
      </c>
      <c r="M2" s="2" t="s">
        <v>160</v>
      </c>
      <c r="N2" s="2" t="s">
        <v>161</v>
      </c>
      <c r="O2" s="2" t="s">
        <v>160</v>
      </c>
      <c r="P2" s="2" t="s">
        <v>161</v>
      </c>
      <c r="Q2" s="2" t="s">
        <v>160</v>
      </c>
      <c r="R2" s="2" t="s">
        <v>161</v>
      </c>
      <c r="S2" s="2" t="s">
        <v>160</v>
      </c>
      <c r="T2" s="2" t="s">
        <v>161</v>
      </c>
      <c r="U2" s="2" t="s">
        <v>160</v>
      </c>
      <c r="V2" s="2" t="s">
        <v>161</v>
      </c>
      <c r="W2" s="2" t="s">
        <v>160</v>
      </c>
      <c r="X2" s="2" t="s">
        <v>161</v>
      </c>
    </row>
    <row r="3" spans="2:24">
      <c r="B3" s="3"/>
      <c r="C3" s="2" t="s">
        <v>224</v>
      </c>
      <c r="D3" s="2">
        <v>-1.4</v>
      </c>
      <c r="E3" s="2">
        <v>-0.84</v>
      </c>
      <c r="F3" s="2">
        <v>-0.7</v>
      </c>
      <c r="G3" s="2">
        <v>-1.26</v>
      </c>
      <c r="H3" s="2"/>
      <c r="I3" s="2"/>
      <c r="M3" s="2" t="s">
        <v>183</v>
      </c>
      <c r="N3" s="2" t="s">
        <v>262</v>
      </c>
      <c r="O3" s="2" t="s">
        <v>192</v>
      </c>
      <c r="P3" s="2" t="s">
        <v>196</v>
      </c>
      <c r="Q3" s="2" t="s">
        <v>201</v>
      </c>
      <c r="R3" s="2" t="s">
        <v>266</v>
      </c>
      <c r="S3" s="2" t="s">
        <v>220</v>
      </c>
      <c r="T3" s="2" t="s">
        <v>227</v>
      </c>
      <c r="U3" s="2" t="s">
        <v>235</v>
      </c>
      <c r="V3" s="2" t="s">
        <v>267</v>
      </c>
      <c r="W3" s="2" t="s">
        <v>248</v>
      </c>
      <c r="X3" s="2" t="s">
        <v>253</v>
      </c>
    </row>
    <row r="4" spans="2:24">
      <c r="B4" s="3"/>
      <c r="C4" s="2" t="s">
        <v>231</v>
      </c>
      <c r="D4" s="2">
        <v>0.161</v>
      </c>
      <c r="E4" s="2">
        <v>0.401</v>
      </c>
      <c r="F4" s="2">
        <v>0.484</v>
      </c>
      <c r="G4" s="2">
        <v>0.208</v>
      </c>
      <c r="H4" s="2"/>
      <c r="I4" s="2"/>
      <c r="M4" s="2" t="s">
        <v>184</v>
      </c>
      <c r="N4" s="2" t="s">
        <v>263</v>
      </c>
      <c r="O4" s="2" t="s">
        <v>193</v>
      </c>
      <c r="P4" s="2" t="s">
        <v>197</v>
      </c>
      <c r="Q4" s="2" t="s">
        <v>202</v>
      </c>
      <c r="R4" s="2" t="s">
        <v>268</v>
      </c>
      <c r="S4" s="2" t="s">
        <v>221</v>
      </c>
      <c r="T4" s="2" t="s">
        <v>228</v>
      </c>
      <c r="U4" s="2" t="s">
        <v>236</v>
      </c>
      <c r="V4" s="2" t="s">
        <v>269</v>
      </c>
      <c r="W4" s="2" t="s">
        <v>249</v>
      </c>
      <c r="X4" s="2" t="s">
        <v>254</v>
      </c>
    </row>
    <row r="5" spans="2:24">
      <c r="B5" s="1" t="s">
        <v>191</v>
      </c>
      <c r="C5" s="2" t="s">
        <v>160</v>
      </c>
      <c r="D5" s="2" t="s">
        <v>192</v>
      </c>
      <c r="E5" s="2" t="s">
        <v>193</v>
      </c>
      <c r="F5" s="2" t="s">
        <v>194</v>
      </c>
      <c r="G5" s="2" t="s">
        <v>195</v>
      </c>
      <c r="H5" s="2">
        <v>1.762</v>
      </c>
      <c r="I5" s="2">
        <v>0.177</v>
      </c>
      <c r="M5" s="2" t="s">
        <v>185</v>
      </c>
      <c r="N5" s="2" t="s">
        <v>264</v>
      </c>
      <c r="O5" s="2" t="s">
        <v>194</v>
      </c>
      <c r="P5" s="2" t="s">
        <v>198</v>
      </c>
      <c r="Q5" s="2" t="s">
        <v>203</v>
      </c>
      <c r="R5" s="2" t="s">
        <v>270</v>
      </c>
      <c r="S5" s="2" t="s">
        <v>222</v>
      </c>
      <c r="T5" s="2" t="s">
        <v>229</v>
      </c>
      <c r="U5" s="2" t="s">
        <v>237</v>
      </c>
      <c r="V5" s="2" t="s">
        <v>271</v>
      </c>
      <c r="W5" s="2" t="s">
        <v>250</v>
      </c>
      <c r="X5" s="2" t="s">
        <v>255</v>
      </c>
    </row>
    <row r="6" spans="2:24">
      <c r="B6" s="1"/>
      <c r="C6" s="2" t="s">
        <v>161</v>
      </c>
      <c r="D6" s="2" t="s">
        <v>196</v>
      </c>
      <c r="E6" s="2" t="s">
        <v>197</v>
      </c>
      <c r="F6" s="2" t="s">
        <v>198</v>
      </c>
      <c r="G6" s="2" t="s">
        <v>199</v>
      </c>
      <c r="H6" s="2">
        <v>1.339</v>
      </c>
      <c r="I6" s="2">
        <v>0.282</v>
      </c>
      <c r="M6" s="2" t="s">
        <v>186</v>
      </c>
      <c r="N6" s="2" t="s">
        <v>265</v>
      </c>
      <c r="O6" s="2" t="s">
        <v>195</v>
      </c>
      <c r="P6" s="2" t="s">
        <v>199</v>
      </c>
      <c r="Q6" s="2" t="s">
        <v>204</v>
      </c>
      <c r="R6" s="2" t="s">
        <v>272</v>
      </c>
      <c r="S6" s="2" t="s">
        <v>223</v>
      </c>
      <c r="T6" s="2" t="s">
        <v>230</v>
      </c>
      <c r="U6" s="2" t="s">
        <v>238</v>
      </c>
      <c r="V6" s="2" t="s">
        <v>273</v>
      </c>
      <c r="W6" s="2" t="s">
        <v>251</v>
      </c>
      <c r="X6" s="2" t="s">
        <v>256</v>
      </c>
    </row>
    <row r="7" spans="2:24">
      <c r="B7" s="1"/>
      <c r="C7" s="2" t="s">
        <v>252</v>
      </c>
      <c r="D7" s="2">
        <v>0.557</v>
      </c>
      <c r="E7" s="2">
        <v>1.764</v>
      </c>
      <c r="F7" s="2">
        <v>0.695</v>
      </c>
      <c r="G7" s="2">
        <v>0.244</v>
      </c>
      <c r="H7" s="2"/>
      <c r="I7" s="2"/>
      <c r="M7" s="2">
        <v>0.865</v>
      </c>
      <c r="N7" s="2">
        <v>9.105</v>
      </c>
      <c r="O7" s="2">
        <v>1.762</v>
      </c>
      <c r="P7" s="2">
        <v>1.339</v>
      </c>
      <c r="Q7" s="2">
        <v>2.702</v>
      </c>
      <c r="R7" s="2">
        <v>9.872</v>
      </c>
      <c r="S7" s="2">
        <v>1.762</v>
      </c>
      <c r="T7" s="2">
        <v>4.372</v>
      </c>
      <c r="U7" s="2">
        <v>0.293</v>
      </c>
      <c r="V7" s="2">
        <v>4.961</v>
      </c>
      <c r="W7" s="2">
        <v>3.886</v>
      </c>
      <c r="X7" s="2">
        <v>1.126</v>
      </c>
    </row>
    <row r="8" spans="2:24">
      <c r="B8" s="1"/>
      <c r="C8" s="2" t="s">
        <v>231</v>
      </c>
      <c r="D8" s="2">
        <v>0.595</v>
      </c>
      <c r="E8" s="2">
        <v>0.121</v>
      </c>
      <c r="F8" s="2">
        <v>0.51</v>
      </c>
      <c r="G8" s="2">
        <v>0.814</v>
      </c>
      <c r="H8" s="2"/>
      <c r="I8" s="2"/>
      <c r="M8" s="2">
        <v>0.471</v>
      </c>
      <c r="N8" s="2">
        <v>0.028</v>
      </c>
      <c r="O8" s="2">
        <v>0.177</v>
      </c>
      <c r="P8" s="2">
        <v>0.282</v>
      </c>
      <c r="Q8" s="2">
        <v>0.44</v>
      </c>
      <c r="R8" s="2">
        <v>0.02</v>
      </c>
      <c r="S8" s="2">
        <v>0.177</v>
      </c>
      <c r="T8" s="2">
        <v>0.224</v>
      </c>
      <c r="U8" s="2">
        <v>0.83</v>
      </c>
      <c r="V8" s="2">
        <v>0.007</v>
      </c>
      <c r="W8" s="2">
        <v>0.274</v>
      </c>
      <c r="X8" s="2">
        <v>0.355</v>
      </c>
    </row>
    <row r="9" spans="2:24">
      <c r="B9" s="1" t="s">
        <v>200</v>
      </c>
      <c r="C9" s="2" t="s">
        <v>160</v>
      </c>
      <c r="D9" s="2" t="s">
        <v>201</v>
      </c>
      <c r="E9" s="2" t="s">
        <v>202</v>
      </c>
      <c r="F9" s="2" t="s">
        <v>203</v>
      </c>
      <c r="G9" s="2" t="s">
        <v>204</v>
      </c>
      <c r="H9" s="2">
        <v>2.702</v>
      </c>
      <c r="I9" s="2">
        <v>0.44</v>
      </c>
    </row>
    <row r="10" spans="2:24">
      <c r="B10" s="1"/>
      <c r="C10" s="2" t="s">
        <v>161</v>
      </c>
      <c r="D10" s="2" t="s">
        <v>266</v>
      </c>
      <c r="E10" s="2" t="s">
        <v>268</v>
      </c>
      <c r="F10" s="2" t="s">
        <v>270</v>
      </c>
      <c r="G10" s="2" t="s">
        <v>272</v>
      </c>
      <c r="H10" s="2">
        <v>9.872</v>
      </c>
      <c r="I10" s="2">
        <v>0.02</v>
      </c>
    </row>
    <row r="11" spans="2:24">
      <c r="B11" s="1"/>
      <c r="C11" s="2" t="s">
        <v>224</v>
      </c>
      <c r="D11" s="2">
        <v>-2.1</v>
      </c>
      <c r="E11" s="2">
        <v>-0.84</v>
      </c>
      <c r="F11" s="2">
        <v>-1.4</v>
      </c>
      <c r="G11" s="2">
        <v>-1.12</v>
      </c>
      <c r="H11" s="2"/>
      <c r="I11" s="2"/>
    </row>
    <row r="12" spans="2:24">
      <c r="B12" s="1"/>
      <c r="C12" s="2" t="s">
        <v>231</v>
      </c>
      <c r="D12" s="2">
        <v>0.036</v>
      </c>
      <c r="E12" s="2">
        <v>0.401</v>
      </c>
      <c r="F12" s="2">
        <v>0.161</v>
      </c>
      <c r="G12" s="2">
        <v>0.263</v>
      </c>
      <c r="H12" s="2"/>
      <c r="I12" s="2"/>
    </row>
    <row r="13" spans="2:24">
      <c r="B13" s="1" t="s">
        <v>219</v>
      </c>
      <c r="C13" s="2" t="s">
        <v>160</v>
      </c>
      <c r="D13" s="2" t="s">
        <v>220</v>
      </c>
      <c r="E13" s="2" t="s">
        <v>221</v>
      </c>
      <c r="F13" s="2" t="s">
        <v>222</v>
      </c>
      <c r="G13" s="2" t="s">
        <v>223</v>
      </c>
      <c r="H13" s="2">
        <v>1.762</v>
      </c>
      <c r="I13" s="2">
        <v>0.177</v>
      </c>
    </row>
    <row r="14" spans="2:24">
      <c r="B14" s="1"/>
      <c r="C14" s="2" t="s">
        <v>161</v>
      </c>
      <c r="D14" s="2" t="s">
        <v>227</v>
      </c>
      <c r="E14" s="2" t="s">
        <v>228</v>
      </c>
      <c r="F14" s="2" t="s">
        <v>229</v>
      </c>
      <c r="G14" s="2" t="s">
        <v>230</v>
      </c>
      <c r="H14" s="2">
        <v>4.372</v>
      </c>
      <c r="I14" s="2">
        <v>0.224</v>
      </c>
    </row>
    <row r="15" spans="2:24">
      <c r="B15" s="1"/>
      <c r="C15" s="2" t="s">
        <v>224</v>
      </c>
      <c r="D15" s="2">
        <v>-0.42</v>
      </c>
      <c r="E15" s="2">
        <v>-0.42</v>
      </c>
      <c r="F15" s="2">
        <v>-0.56</v>
      </c>
      <c r="G15" s="2">
        <v>-0.42</v>
      </c>
      <c r="H15" s="2"/>
      <c r="I15" s="2"/>
    </row>
    <row r="16" spans="2:24">
      <c r="B16" s="1"/>
      <c r="C16" s="2" t="s">
        <v>231</v>
      </c>
      <c r="D16" s="2">
        <v>0.674</v>
      </c>
      <c r="E16" s="2">
        <v>0.674</v>
      </c>
      <c r="F16" s="2">
        <v>0.575</v>
      </c>
      <c r="G16" s="2">
        <v>0.674</v>
      </c>
      <c r="H16" s="2"/>
      <c r="I16" s="2"/>
    </row>
    <row r="17" spans="2:9">
      <c r="B17" s="1" t="s">
        <v>234</v>
      </c>
      <c r="C17" s="2" t="s">
        <v>160</v>
      </c>
      <c r="D17" s="2" t="s">
        <v>235</v>
      </c>
      <c r="E17" s="2" t="s">
        <v>236</v>
      </c>
      <c r="F17" s="2" t="s">
        <v>237</v>
      </c>
      <c r="G17" s="2" t="s">
        <v>238</v>
      </c>
      <c r="H17" s="2">
        <v>0.293</v>
      </c>
      <c r="I17" s="2">
        <v>0.83</v>
      </c>
    </row>
    <row r="18" spans="2:9">
      <c r="B18" s="1"/>
      <c r="C18" s="2" t="s">
        <v>161</v>
      </c>
      <c r="D18" s="2" t="s">
        <v>267</v>
      </c>
      <c r="E18" s="2" t="s">
        <v>269</v>
      </c>
      <c r="F18" s="2" t="s">
        <v>271</v>
      </c>
      <c r="G18" s="2" t="s">
        <v>273</v>
      </c>
      <c r="H18" s="2">
        <v>4.961</v>
      </c>
      <c r="I18" s="2">
        <v>0.007</v>
      </c>
    </row>
    <row r="19" spans="2:9">
      <c r="B19" s="1"/>
      <c r="C19" s="2" t="s">
        <v>252</v>
      </c>
      <c r="D19" s="2">
        <v>2.214</v>
      </c>
      <c r="E19" s="2">
        <v>-0.688</v>
      </c>
      <c r="F19" s="2">
        <v>-0.056</v>
      </c>
      <c r="G19" s="2">
        <v>-0.779</v>
      </c>
      <c r="H19" s="2"/>
      <c r="I19" s="2"/>
    </row>
    <row r="20" spans="2:9">
      <c r="B20" s="1"/>
      <c r="C20" s="2" t="s">
        <v>231</v>
      </c>
      <c r="D20" s="2">
        <v>0.062</v>
      </c>
      <c r="E20" s="2">
        <v>0.513</v>
      </c>
      <c r="F20" s="2">
        <v>0.957</v>
      </c>
      <c r="G20" s="2">
        <v>0.462</v>
      </c>
      <c r="H20" s="2"/>
      <c r="I20" s="2"/>
    </row>
    <row r="21" spans="2:9">
      <c r="B21" s="1" t="s">
        <v>247</v>
      </c>
      <c r="C21" s="2" t="s">
        <v>160</v>
      </c>
      <c r="D21" s="2" t="s">
        <v>248</v>
      </c>
      <c r="E21" s="2" t="s">
        <v>249</v>
      </c>
      <c r="F21" s="2" t="s">
        <v>250</v>
      </c>
      <c r="G21" s="2" t="s">
        <v>251</v>
      </c>
      <c r="H21" s="2">
        <v>3.886</v>
      </c>
      <c r="I21" s="2">
        <v>0.274</v>
      </c>
    </row>
    <row r="22" spans="2:9">
      <c r="B22" s="1"/>
      <c r="C22" s="2" t="s">
        <v>161</v>
      </c>
      <c r="D22" s="2" t="s">
        <v>253</v>
      </c>
      <c r="E22" s="2" t="s">
        <v>254</v>
      </c>
      <c r="F22" s="2" t="s">
        <v>255</v>
      </c>
      <c r="G22" s="2" t="s">
        <v>256</v>
      </c>
      <c r="H22" s="2">
        <v>1.126</v>
      </c>
      <c r="I22" s="2">
        <v>0.355</v>
      </c>
    </row>
    <row r="23" spans="2:9">
      <c r="B23" s="1"/>
      <c r="C23" s="2" t="s">
        <v>224</v>
      </c>
      <c r="D23" s="2">
        <v>0</v>
      </c>
      <c r="E23" s="2">
        <v>-0.7</v>
      </c>
      <c r="F23" s="2">
        <v>-0.42</v>
      </c>
      <c r="G23" s="2">
        <v>-0.98</v>
      </c>
      <c r="H23" s="2"/>
      <c r="I23" s="2"/>
    </row>
    <row r="24" ht="15.15" spans="2:9">
      <c r="B24" s="4"/>
      <c r="C24" s="5" t="s">
        <v>231</v>
      </c>
      <c r="D24" s="5">
        <v>1</v>
      </c>
      <c r="E24" s="5">
        <v>0.484</v>
      </c>
      <c r="F24" s="5">
        <v>0.674</v>
      </c>
      <c r="G24" s="5">
        <v>0.327</v>
      </c>
      <c r="H24" s="5"/>
      <c r="I24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初始数据</vt:lpstr>
      <vt:lpstr>整理析因分析表格</vt:lpstr>
      <vt:lpstr>结果</vt:lpstr>
      <vt:lpstr>A1</vt:lpstr>
      <vt:lpstr>B2</vt:lpstr>
      <vt:lpstr>C3</vt:lpstr>
      <vt:lpstr>D4</vt:lpstr>
      <vt:lpstr>相关性分析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2025-12-27T07:10:00Z</dcterms:created>
  <dcterms:modified xsi:type="dcterms:W3CDTF">2026-07-08T05:26:44Z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C8A56D4E6DC248B19383EB0713A192B4_13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