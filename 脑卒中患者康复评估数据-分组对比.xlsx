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fx" sheetId="1" r:id="rId1"/>
    <sheet name="rest" sheetId="3" r:id="rId2"/>
    <sheet name="说明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<sst xmlns="http://schemas.openxmlformats.org/spreadsheetml/2006/main" count="345" uniqueCount="95">
  <si>
    <t>序号</t>
  </si>
  <si>
    <t>组别</t>
  </si>
  <si>
    <t>姓名</t>
  </si>
  <si>
    <t>性别</t>
  </si>
  <si>
    <t>年龄</t>
  </si>
  <si>
    <t>病程</t>
  </si>
  <si>
    <t>偏瘫侧别</t>
  </si>
  <si>
    <t>诊断</t>
  </si>
  <si>
    <t>MMSE</t>
  </si>
  <si>
    <t>FMA近初</t>
  </si>
  <si>
    <t>FMA近末</t>
  </si>
  <si>
    <t>FMA近差值</t>
  </si>
  <si>
    <t>FMA远初</t>
  </si>
  <si>
    <t>FMA远末</t>
  </si>
  <si>
    <t>FMA远差值</t>
  </si>
  <si>
    <t>sub01</t>
  </si>
  <si>
    <t>丁胜军</t>
  </si>
  <si>
    <t>男</t>
  </si>
  <si>
    <t>左侧</t>
  </si>
  <si>
    <t>脑梗死</t>
  </si>
  <si>
    <t>sub02</t>
  </si>
  <si>
    <t>黄歆</t>
  </si>
  <si>
    <t>右侧</t>
  </si>
  <si>
    <t>脑出血</t>
  </si>
  <si>
    <t>sub03</t>
  </si>
  <si>
    <t>王应宏</t>
  </si>
  <si>
    <t>sub04</t>
  </si>
  <si>
    <t>干慧娟</t>
  </si>
  <si>
    <t>女</t>
  </si>
  <si>
    <t>sub05</t>
  </si>
  <si>
    <t>李月芳</t>
  </si>
  <si>
    <t>sub06</t>
  </si>
  <si>
    <t>孟兆贞</t>
  </si>
  <si>
    <t>sub07</t>
  </si>
  <si>
    <t>宋玮娟</t>
  </si>
  <si>
    <t>sub08</t>
  </si>
  <si>
    <t>路凤玉</t>
  </si>
  <si>
    <t>sub09</t>
  </si>
  <si>
    <t>吴远才</t>
  </si>
  <si>
    <t>sub10</t>
  </si>
  <si>
    <t>王经山</t>
  </si>
  <si>
    <t>sub11</t>
  </si>
  <si>
    <t>沈书桃</t>
  </si>
  <si>
    <t>sub12</t>
  </si>
  <si>
    <t>徐峰</t>
  </si>
  <si>
    <t>sub13</t>
  </si>
  <si>
    <t>毛作保</t>
  </si>
  <si>
    <t>sub14</t>
  </si>
  <si>
    <t>曹兆发</t>
  </si>
  <si>
    <t>sub15</t>
  </si>
  <si>
    <t>朱美妹</t>
  </si>
  <si>
    <t>sub16</t>
  </si>
  <si>
    <t>姜涛</t>
  </si>
  <si>
    <t>sub17</t>
  </si>
  <si>
    <t>王志龙</t>
  </si>
  <si>
    <t>sub18</t>
  </si>
  <si>
    <t>许德英</t>
  </si>
  <si>
    <t>sub19</t>
  </si>
  <si>
    <t>俞伟建</t>
  </si>
  <si>
    <t>sub20</t>
  </si>
  <si>
    <t>金靖</t>
  </si>
  <si>
    <t>sub21</t>
  </si>
  <si>
    <t>庄红刚</t>
  </si>
  <si>
    <t>sub22</t>
  </si>
  <si>
    <t>倪瑞祥</t>
  </si>
  <si>
    <t>sub23</t>
  </si>
  <si>
    <t>包年伦</t>
  </si>
  <si>
    <t>sub24</t>
  </si>
  <si>
    <t>沈小弟</t>
  </si>
  <si>
    <t>sub25</t>
  </si>
  <si>
    <t>韩佳</t>
  </si>
  <si>
    <t>sub26</t>
  </si>
  <si>
    <t>孙亚</t>
  </si>
  <si>
    <t>sub27</t>
  </si>
  <si>
    <t>赵留轻</t>
  </si>
  <si>
    <t>sub28</t>
  </si>
  <si>
    <t>施群</t>
  </si>
  <si>
    <t>sub29</t>
  </si>
  <si>
    <t>陈阿荣</t>
  </si>
  <si>
    <t>杨根年</t>
  </si>
  <si>
    <t>田维玉</t>
  </si>
  <si>
    <t>陆鸿根</t>
  </si>
  <si>
    <t>张来根</t>
  </si>
  <si>
    <t>sub30</t>
  </si>
  <si>
    <t>sub31</t>
  </si>
  <si>
    <t>sub32</t>
  </si>
  <si>
    <t>A</t>
  </si>
  <si>
    <t>对照组</t>
  </si>
  <si>
    <t>对应fNIRS编号，顺序可能会有部分乱，但对应分组、人名、性别、评定没问题</t>
  </si>
  <si>
    <t>B</t>
  </si>
  <si>
    <t>手套组</t>
  </si>
  <si>
    <t>C</t>
  </si>
  <si>
    <t>镜像组</t>
  </si>
  <si>
    <t>D</t>
  </si>
  <si>
    <t>联合组（手套+镜像）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</si>
</sst>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0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5"/>
      <name val="宋体"/>
      <charset val="134"/>
      <scheme val="minor"/>
    </font>
    <font>
      <sz val="11"/>
      <color rgb="FF00B0F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6"/>
      <name val="宋体"/>
      <charset val="134"/>
      <scheme val="minor"/>
    </font>
    <font>
      <sz val="11"/>
      <color theme="9"/>
      <name val="宋体"/>
      <charset val="134"/>
      <scheme val="minor"/>
    </font>
    <font>
      <sz val="11"/>
      <color rgb="FF00B050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0" fillId="2" borderId="1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2">
      <alignment vertical="center"/>
    </xf>
    <xf numFmtId="0" fontId="17" fillId="0" borderId="2">
      <alignment vertical="center"/>
    </xf>
    <xf numFmtId="0" fontId="18" fillId="0" borderId="3">
      <alignment vertical="center"/>
    </xf>
    <xf numFmtId="0" fontId="18" fillId="0" borderId="0">
      <alignment vertical="center"/>
    </xf>
    <xf numFmtId="0" fontId="19" fillId="3" borderId="4">
      <alignment vertical="center"/>
    </xf>
    <xf numFmtId="0" fontId="20" fillId="4" borderId="5">
      <alignment vertical="center"/>
    </xf>
    <xf numFmtId="0" fontId="21" fillId="4" borderId="4">
      <alignment vertical="center"/>
    </xf>
    <xf numFmtId="0" fontId="22" fillId="5" borderId="6">
      <alignment vertical="center"/>
    </xf>
    <xf numFmtId="0" fontId="23" fillId="0" borderId="7">
      <alignment vertical="center"/>
    </xf>
    <xf numFmtId="0" fontId="24" fillId="0" borderId="8">
      <alignment vertical="center"/>
    </xf>
    <xf numFmtId="0" fontId="25" fillId="6" borderId="0">
      <alignment vertical="center"/>
    </xf>
    <xf numFmtId="0" fontId="26" fillId="7" borderId="0">
      <alignment vertical="center"/>
    </xf>
    <xf numFmtId="0" fontId="27" fillId="8" borderId="0">
      <alignment vertical="center"/>
    </xf>
    <xf numFmtId="0" fontId="28" fillId="9" borderId="0">
      <alignment vertical="center"/>
    </xf>
    <xf numFmtId="0" fontId="29" fillId="10" borderId="0">
      <alignment vertical="center"/>
    </xf>
    <xf numFmtId="0" fontId="29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9" fillId="14" borderId="0">
      <alignment vertical="center"/>
    </xf>
    <xf numFmtId="0" fontId="29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9" fillId="18" borderId="0">
      <alignment vertical="center"/>
    </xf>
    <xf numFmtId="0" fontId="29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9" fillId="22" borderId="0">
      <alignment vertical="center"/>
    </xf>
    <xf numFmtId="0" fontId="29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9" fillId="26" borderId="0">
      <alignment vertical="center"/>
    </xf>
    <xf numFmtId="0" fontId="29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9" fillId="30" borderId="0">
      <alignment vertical="center"/>
    </xf>
    <xf numFmtId="0" fontId="29" fillId="31" borderId="0">
      <alignment vertical="center"/>
    </xf>
    <xf numFmtId="0" fontId="28" fillId="32" borderId="0">
      <alignment vertical="center"/>
    </xf>
  </cellStyleXfs>
  <cellXfs count="14">
    <xf numFmtId="0" fontId="0" fillId="0" borderId="0" xfId="0" applyAlignment="1">
      <alignment vertical="center"/>
    </xf>
    <xf numFmtId="176" fontId="0" fillId="0" borderId="0" xfId="0" applyNumberForma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2" fillId="0" borderId="0" xfId="0" applyFont="1">
      <alignment vertical="center"/>
    </xf>
    <xf numFmtId="176" fontId="3" fillId="0" borderId="0" xfId="0" applyNumberFormat="1" applyFont="1" applyFill="1" applyAlignment="1">
      <alignment vertical="center"/>
    </xf>
    <xf numFmtId="0" fontId="4" fillId="0" borderId="0" xfId="0" applyFont="1">
      <alignment vertical="center"/>
    </xf>
    <xf numFmtId="0" fontId="5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vertical="center"/>
    </xf>
    <xf numFmtId="0" fontId="7" fillId="0" borderId="0" xfId="0" applyFont="1">
      <alignment vertical="center"/>
    </xf>
    <xf numFmtId="0" fontId="8" fillId="0" borderId="0" xfId="0" applyFont="1" applyFill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"/>
  <sheetViews>
    <sheetView topLeftCell="A4" workbookViewId="0">
      <selection activeCell="I15" sqref="I15"/>
    </sheetView>
  </sheetViews>
  <sheetFormatPr defaultColWidth="9" defaultRowHeight="14.4"/>
  <sheetData>
    <row r="1" spans="1:18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 t="s">
        <v>12</v>
      </c>
      <c r="P1" s="2" t="s">
        <v>13</v>
      </c>
      <c r="Q1" s="1" t="s">
        <v>14</v>
      </c>
      <c r="R1" s="1"/>
    </row>
    <row r="2" spans="1:18">
      <c r="A2" s="1" t="s">
        <v>15</v>
      </c>
      <c r="B2" s="1">
        <v>4</v>
      </c>
      <c r="C2" s="3" t="s">
        <v>16</v>
      </c>
      <c r="E2" s="1" t="s">
        <v>17</v>
      </c>
      <c r="F2" s="1">
        <v>69</v>
      </c>
      <c r="G2" s="1">
        <v>41</v>
      </c>
      <c r="H2" s="1" t="s">
        <v>18</v>
      </c>
      <c r="I2" s="1" t="s">
        <v>19</v>
      </c>
      <c r="J2" s="1">
        <v>28</v>
      </c>
      <c r="K2" s="1">
        <v>27</v>
      </c>
      <c r="L2" s="1">
        <v>28</v>
      </c>
      <c r="M2" s="1">
        <f t="shared" ref="M2:M30" si="0">L2-K2</f>
        <v>1</v>
      </c>
      <c r="N2" s="1"/>
      <c r="O2" s="1">
        <v>9</v>
      </c>
      <c r="P2" s="2">
        <v>18</v>
      </c>
      <c r="Q2" s="1">
        <f t="shared" ref="Q2:Q30" si="1">P2-O2</f>
        <v>9</v>
      </c>
      <c r="R2" s="1"/>
    </row>
    <row r="3" spans="1:18">
      <c r="A3" s="1" t="s">
        <v>20</v>
      </c>
      <c r="B3" s="1">
        <v>2</v>
      </c>
      <c r="C3" s="3" t="s">
        <v>21</v>
      </c>
      <c r="E3" s="1" t="s">
        <v>17</v>
      </c>
      <c r="F3" s="1">
        <v>42</v>
      </c>
      <c r="G3" s="1">
        <v>109</v>
      </c>
      <c r="H3" s="1" t="s">
        <v>22</v>
      </c>
      <c r="I3" s="1" t="s">
        <v>23</v>
      </c>
      <c r="J3" s="1">
        <v>28</v>
      </c>
      <c r="K3" s="1">
        <v>6</v>
      </c>
      <c r="L3" s="1">
        <v>7</v>
      </c>
      <c r="M3" s="1">
        <f t="shared" si="0"/>
        <v>1</v>
      </c>
      <c r="N3" s="1"/>
      <c r="O3" s="1">
        <v>2</v>
      </c>
      <c r="P3" s="2">
        <v>6</v>
      </c>
      <c r="Q3" s="1">
        <f t="shared" si="1"/>
        <v>4</v>
      </c>
      <c r="R3" s="1"/>
    </row>
    <row r="4" spans="1:18">
      <c r="A4" s="1" t="s">
        <v>24</v>
      </c>
      <c r="B4" s="4">
        <v>4</v>
      </c>
      <c r="C4" s="3" t="s">
        <v>25</v>
      </c>
      <c r="E4" s="4" t="s">
        <v>17</v>
      </c>
      <c r="F4" s="4">
        <v>71</v>
      </c>
      <c r="G4" s="4">
        <v>12</v>
      </c>
      <c r="H4" s="4" t="s">
        <v>22</v>
      </c>
      <c r="I4" s="4" t="s">
        <v>19</v>
      </c>
      <c r="J4" s="4">
        <v>22</v>
      </c>
      <c r="K4" s="4">
        <v>8</v>
      </c>
      <c r="L4" s="4">
        <v>12</v>
      </c>
      <c r="M4" s="1">
        <f t="shared" si="0"/>
        <v>4</v>
      </c>
      <c r="N4" s="4"/>
      <c r="O4" s="4">
        <v>2</v>
      </c>
      <c r="P4" s="4">
        <v>11</v>
      </c>
      <c r="Q4" s="1">
        <f t="shared" si="1"/>
        <v>9</v>
      </c>
      <c r="R4" s="4"/>
    </row>
    <row r="5" spans="1:18">
      <c r="A5" s="1" t="s">
        <v>26</v>
      </c>
      <c r="B5" s="4">
        <v>4</v>
      </c>
      <c r="C5" s="5" t="s">
        <v>27</v>
      </c>
      <c r="E5" s="4" t="s">
        <v>28</v>
      </c>
      <c r="F5" s="4">
        <v>68</v>
      </c>
      <c r="G5" s="4">
        <v>127</v>
      </c>
      <c r="H5" s="4" t="s">
        <v>22</v>
      </c>
      <c r="I5" s="4" t="s">
        <v>19</v>
      </c>
      <c r="J5" s="4">
        <v>21</v>
      </c>
      <c r="K5" s="4">
        <v>9</v>
      </c>
      <c r="L5" s="4">
        <v>11</v>
      </c>
      <c r="M5" s="1">
        <f t="shared" si="0"/>
        <v>2</v>
      </c>
      <c r="N5" s="4"/>
      <c r="O5" s="4">
        <v>1</v>
      </c>
      <c r="P5" s="4">
        <v>15</v>
      </c>
      <c r="Q5" s="1">
        <f t="shared" si="1"/>
        <v>14</v>
      </c>
      <c r="R5" s="4"/>
    </row>
    <row r="6" spans="1:18">
      <c r="A6" s="1" t="s">
        <v>29</v>
      </c>
      <c r="B6" s="1">
        <v>3</v>
      </c>
      <c r="C6" s="5" t="s">
        <v>30</v>
      </c>
      <c r="E6" s="1" t="s">
        <v>28</v>
      </c>
      <c r="F6" s="1">
        <v>62</v>
      </c>
      <c r="G6" s="1">
        <v>22</v>
      </c>
      <c r="H6" s="1" t="s">
        <v>18</v>
      </c>
      <c r="I6" s="1" t="s">
        <v>19</v>
      </c>
      <c r="J6" s="1">
        <v>24</v>
      </c>
      <c r="K6" s="1">
        <v>9</v>
      </c>
      <c r="L6" s="1">
        <v>10</v>
      </c>
      <c r="M6" s="1">
        <f t="shared" si="0"/>
        <v>1</v>
      </c>
      <c r="N6" s="1"/>
      <c r="O6" s="1">
        <v>0</v>
      </c>
      <c r="P6" s="2">
        <v>4</v>
      </c>
      <c r="Q6" s="1">
        <f t="shared" si="1"/>
        <v>4</v>
      </c>
      <c r="R6" s="1"/>
    </row>
    <row r="7" spans="1:18">
      <c r="A7" s="1" t="s">
        <v>31</v>
      </c>
      <c r="B7" s="4">
        <v>3</v>
      </c>
      <c r="C7" s="3" t="s">
        <v>32</v>
      </c>
      <c r="E7" s="4" t="s">
        <v>17</v>
      </c>
      <c r="F7" s="4">
        <v>70</v>
      </c>
      <c r="G7" s="4">
        <v>118</v>
      </c>
      <c r="H7" s="4" t="s">
        <v>18</v>
      </c>
      <c r="I7" s="4" t="s">
        <v>19</v>
      </c>
      <c r="J7" s="4">
        <v>25</v>
      </c>
      <c r="K7" s="4">
        <v>28</v>
      </c>
      <c r="L7" s="4">
        <v>28</v>
      </c>
      <c r="M7" s="1">
        <f t="shared" si="0"/>
        <v>0</v>
      </c>
      <c r="N7" s="4"/>
      <c r="O7" s="4">
        <v>17</v>
      </c>
      <c r="P7" s="4">
        <v>27</v>
      </c>
      <c r="Q7" s="1">
        <f t="shared" si="1"/>
        <v>10</v>
      </c>
      <c r="R7" s="4"/>
    </row>
    <row r="8" spans="1:18">
      <c r="A8" s="1" t="s">
        <v>33</v>
      </c>
      <c r="B8" s="1">
        <v>2</v>
      </c>
      <c r="C8" s="3" t="s">
        <v>34</v>
      </c>
      <c r="E8" s="1" t="s">
        <v>28</v>
      </c>
      <c r="F8" s="1">
        <v>52</v>
      </c>
      <c r="G8" s="1">
        <v>19</v>
      </c>
      <c r="H8" s="1" t="s">
        <v>18</v>
      </c>
      <c r="I8" s="1" t="s">
        <v>19</v>
      </c>
      <c r="J8" s="1">
        <v>30</v>
      </c>
      <c r="K8" s="1">
        <v>11</v>
      </c>
      <c r="L8" s="1">
        <v>12</v>
      </c>
      <c r="M8" s="1">
        <f t="shared" si="0"/>
        <v>1</v>
      </c>
      <c r="N8" s="1"/>
      <c r="O8" s="1">
        <v>2</v>
      </c>
      <c r="P8" s="2">
        <v>2</v>
      </c>
      <c r="Q8" s="1">
        <f t="shared" si="1"/>
        <v>0</v>
      </c>
      <c r="R8" s="1"/>
    </row>
    <row r="9" spans="1:18">
      <c r="A9" s="1" t="s">
        <v>35</v>
      </c>
      <c r="B9" s="1">
        <v>1</v>
      </c>
      <c r="C9" s="3" t="s">
        <v>36</v>
      </c>
      <c r="E9" s="1" t="s">
        <v>28</v>
      </c>
      <c r="F9" s="1">
        <v>59</v>
      </c>
      <c r="G9" s="1">
        <v>11</v>
      </c>
      <c r="H9" s="1" t="s">
        <v>18</v>
      </c>
      <c r="I9" s="1" t="s">
        <v>19</v>
      </c>
      <c r="J9" s="1">
        <v>30</v>
      </c>
      <c r="K9" s="1">
        <v>12</v>
      </c>
      <c r="L9" s="1">
        <v>12</v>
      </c>
      <c r="M9" s="1">
        <f t="shared" si="0"/>
        <v>0</v>
      </c>
      <c r="N9" s="1"/>
      <c r="O9" s="1">
        <v>12</v>
      </c>
      <c r="P9" s="2">
        <v>13</v>
      </c>
      <c r="Q9" s="1">
        <f t="shared" si="1"/>
        <v>1</v>
      </c>
      <c r="R9" s="1"/>
    </row>
    <row r="10" spans="1:18">
      <c r="A10" s="1" t="s">
        <v>37</v>
      </c>
      <c r="B10" s="1">
        <v>1</v>
      </c>
      <c r="C10" s="3" t="s">
        <v>38</v>
      </c>
      <c r="E10" s="1" t="s">
        <v>17</v>
      </c>
      <c r="F10" s="1">
        <v>55</v>
      </c>
      <c r="G10" s="1">
        <v>15</v>
      </c>
      <c r="H10" s="1" t="s">
        <v>22</v>
      </c>
      <c r="I10" s="1" t="s">
        <v>19</v>
      </c>
      <c r="J10" s="1">
        <v>30</v>
      </c>
      <c r="K10" s="1">
        <v>4</v>
      </c>
      <c r="L10" s="1">
        <v>4</v>
      </c>
      <c r="M10" s="1">
        <f t="shared" si="0"/>
        <v>0</v>
      </c>
      <c r="N10" s="1"/>
      <c r="O10" s="1">
        <v>0</v>
      </c>
      <c r="P10" s="2">
        <v>12</v>
      </c>
      <c r="Q10" s="1">
        <f t="shared" si="1"/>
        <v>12</v>
      </c>
      <c r="R10" s="1"/>
    </row>
    <row r="11" spans="1:18">
      <c r="A11" s="1" t="s">
        <v>39</v>
      </c>
      <c r="B11" s="1">
        <v>3</v>
      </c>
      <c r="C11" s="6" t="s">
        <v>40</v>
      </c>
      <c r="E11" s="1" t="s">
        <v>17</v>
      </c>
      <c r="F11" s="1">
        <v>72</v>
      </c>
      <c r="G11" s="1">
        <v>60</v>
      </c>
      <c r="H11" s="1" t="s">
        <v>18</v>
      </c>
      <c r="I11" s="1" t="s">
        <v>19</v>
      </c>
      <c r="J11" s="1">
        <v>14</v>
      </c>
      <c r="K11" s="1">
        <v>20</v>
      </c>
      <c r="L11" s="1">
        <v>29</v>
      </c>
      <c r="M11" s="1">
        <f t="shared" si="0"/>
        <v>9</v>
      </c>
      <c r="N11" s="1"/>
      <c r="O11" s="1">
        <v>24</v>
      </c>
      <c r="P11" s="2">
        <v>30</v>
      </c>
      <c r="Q11" s="1">
        <f t="shared" si="1"/>
        <v>6</v>
      </c>
      <c r="R11" s="1"/>
    </row>
    <row r="12" spans="1:18">
      <c r="A12" s="1" t="s">
        <v>41</v>
      </c>
      <c r="B12" s="1">
        <v>2</v>
      </c>
      <c r="C12" s="8" t="s">
        <v>42</v>
      </c>
      <c r="E12" s="1" t="s">
        <v>17</v>
      </c>
      <c r="F12" s="1">
        <v>69</v>
      </c>
      <c r="G12" s="1">
        <v>37</v>
      </c>
      <c r="H12" s="1" t="s">
        <v>18</v>
      </c>
      <c r="I12" s="1" t="s">
        <v>19</v>
      </c>
      <c r="J12" s="1">
        <v>20</v>
      </c>
      <c r="K12" s="1">
        <v>4</v>
      </c>
      <c r="L12" s="1">
        <v>4</v>
      </c>
      <c r="M12" s="1">
        <f t="shared" si="0"/>
        <v>0</v>
      </c>
      <c r="N12" s="1"/>
      <c r="O12" s="1">
        <v>0</v>
      </c>
      <c r="P12" s="2">
        <v>0</v>
      </c>
      <c r="Q12" s="1">
        <f t="shared" si="1"/>
        <v>0</v>
      </c>
      <c r="R12" s="1"/>
    </row>
    <row r="13" spans="1:18">
      <c r="A13" s="1" t="s">
        <v>43</v>
      </c>
      <c r="B13" s="1">
        <v>1</v>
      </c>
      <c r="C13" s="8" t="s">
        <v>44</v>
      </c>
      <c r="E13" s="1" t="s">
        <v>17</v>
      </c>
      <c r="F13" s="1">
        <v>51</v>
      </c>
      <c r="G13" s="1">
        <v>41</v>
      </c>
      <c r="H13" s="1" t="s">
        <v>22</v>
      </c>
      <c r="I13" s="1" t="s">
        <v>23</v>
      </c>
      <c r="J13" s="1">
        <v>20</v>
      </c>
      <c r="K13" s="1">
        <v>20</v>
      </c>
      <c r="L13" s="1">
        <v>36</v>
      </c>
      <c r="M13" s="1">
        <f t="shared" si="0"/>
        <v>16</v>
      </c>
      <c r="N13" s="1"/>
      <c r="O13" s="1">
        <v>17</v>
      </c>
      <c r="P13" s="2">
        <v>29</v>
      </c>
      <c r="Q13" s="1">
        <f t="shared" si="1"/>
        <v>12</v>
      </c>
      <c r="R13" s="1"/>
    </row>
    <row r="14" spans="1:18">
      <c r="A14" s="1" t="s">
        <v>45</v>
      </c>
      <c r="B14" s="1">
        <v>3</v>
      </c>
      <c r="C14" s="8" t="s">
        <v>46</v>
      </c>
      <c r="E14" s="1" t="s">
        <v>17</v>
      </c>
      <c r="F14" s="1">
        <v>56</v>
      </c>
      <c r="G14" s="1">
        <v>36</v>
      </c>
      <c r="H14" s="1" t="s">
        <v>22</v>
      </c>
      <c r="I14" s="1" t="s">
        <v>23</v>
      </c>
      <c r="J14" s="1">
        <v>26</v>
      </c>
      <c r="K14" s="1">
        <v>4</v>
      </c>
      <c r="L14" s="1">
        <v>6</v>
      </c>
      <c r="M14" s="1">
        <f t="shared" si="0"/>
        <v>2</v>
      </c>
      <c r="N14" s="1"/>
      <c r="O14" s="1">
        <v>0</v>
      </c>
      <c r="P14" s="2">
        <v>0</v>
      </c>
      <c r="Q14" s="1">
        <f t="shared" si="1"/>
        <v>0</v>
      </c>
      <c r="R14" s="1"/>
    </row>
    <row r="15" spans="1:18">
      <c r="A15" s="1" t="s">
        <v>47</v>
      </c>
      <c r="B15" s="1">
        <v>3</v>
      </c>
      <c r="C15" s="8" t="s">
        <v>48</v>
      </c>
      <c r="E15" s="1" t="s">
        <v>17</v>
      </c>
      <c r="F15" s="1">
        <v>73</v>
      </c>
      <c r="G15" s="1">
        <v>10</v>
      </c>
      <c r="H15" s="1" t="s">
        <v>22</v>
      </c>
      <c r="I15" s="1" t="s">
        <v>19</v>
      </c>
      <c r="J15" s="1">
        <v>29</v>
      </c>
      <c r="K15" s="1">
        <v>22</v>
      </c>
      <c r="L15" s="1">
        <v>23</v>
      </c>
      <c r="M15" s="1">
        <f t="shared" si="0"/>
        <v>1</v>
      </c>
      <c r="N15" s="1"/>
      <c r="O15" s="1">
        <v>1</v>
      </c>
      <c r="P15" s="2">
        <v>8</v>
      </c>
      <c r="Q15" s="1">
        <f t="shared" si="1"/>
        <v>7</v>
      </c>
      <c r="R15" s="1"/>
    </row>
    <row r="16" spans="1:18">
      <c r="A16" s="1" t="s">
        <v>49</v>
      </c>
      <c r="B16" s="1">
        <v>4</v>
      </c>
      <c r="C16" s="10" t="s">
        <v>50</v>
      </c>
      <c r="E16" s="1" t="s">
        <v>28</v>
      </c>
      <c r="F16" s="1">
        <v>77</v>
      </c>
      <c r="G16" s="1">
        <v>38</v>
      </c>
      <c r="H16" s="1" t="s">
        <v>22</v>
      </c>
      <c r="I16" s="1" t="s">
        <v>19</v>
      </c>
      <c r="J16" s="1">
        <v>22</v>
      </c>
      <c r="K16" s="1">
        <v>3</v>
      </c>
      <c r="L16" s="1">
        <v>5</v>
      </c>
      <c r="M16" s="1">
        <f t="shared" si="0"/>
        <v>2</v>
      </c>
      <c r="N16" s="1"/>
      <c r="O16" s="1">
        <v>0</v>
      </c>
      <c r="P16" s="2">
        <v>0</v>
      </c>
      <c r="Q16" s="1">
        <f t="shared" si="1"/>
        <v>0</v>
      </c>
      <c r="R16" s="1"/>
    </row>
    <row r="17" spans="1:18">
      <c r="A17" s="1" t="s">
        <v>51</v>
      </c>
      <c r="B17" s="1">
        <v>2</v>
      </c>
      <c r="C17" s="10" t="s">
        <v>52</v>
      </c>
      <c r="E17" s="1" t="s">
        <v>17</v>
      </c>
      <c r="F17" s="1">
        <v>76</v>
      </c>
      <c r="G17" s="1">
        <v>12</v>
      </c>
      <c r="H17" s="1" t="s">
        <v>18</v>
      </c>
      <c r="I17" s="1" t="s">
        <v>19</v>
      </c>
      <c r="J17" s="1">
        <v>30</v>
      </c>
      <c r="K17" s="1">
        <v>18</v>
      </c>
      <c r="L17" s="1">
        <v>36</v>
      </c>
      <c r="M17" s="1">
        <f t="shared" si="0"/>
        <v>18</v>
      </c>
      <c r="N17" s="1"/>
      <c r="O17" s="1">
        <v>16</v>
      </c>
      <c r="P17" s="2">
        <v>32</v>
      </c>
      <c r="Q17" s="1">
        <f t="shared" si="1"/>
        <v>16</v>
      </c>
      <c r="R17" s="1"/>
    </row>
    <row r="18" spans="1:18">
      <c r="A18" s="1" t="s">
        <v>53</v>
      </c>
      <c r="B18" s="1">
        <v>3</v>
      </c>
      <c r="C18" s="10" t="s">
        <v>54</v>
      </c>
      <c r="E18" s="1" t="s">
        <v>17</v>
      </c>
      <c r="F18" s="1">
        <v>77</v>
      </c>
      <c r="G18" s="1">
        <v>42</v>
      </c>
      <c r="H18" s="1" t="s">
        <v>22</v>
      </c>
      <c r="I18" s="1" t="s">
        <v>19</v>
      </c>
      <c r="J18" s="1">
        <v>29</v>
      </c>
      <c r="K18" s="1">
        <v>4</v>
      </c>
      <c r="L18" s="1">
        <v>6</v>
      </c>
      <c r="M18" s="1">
        <f t="shared" si="0"/>
        <v>2</v>
      </c>
      <c r="N18" s="1"/>
      <c r="O18" s="1">
        <v>0</v>
      </c>
      <c r="P18" s="2">
        <v>0</v>
      </c>
      <c r="Q18" s="1">
        <f t="shared" si="1"/>
        <v>0</v>
      </c>
      <c r="R18" s="1"/>
    </row>
    <row r="19" spans="1:18">
      <c r="A19" s="1" t="s">
        <v>55</v>
      </c>
      <c r="B19" s="1">
        <v>4</v>
      </c>
      <c r="C19" s="10" t="s">
        <v>56</v>
      </c>
      <c r="E19" s="1" t="s">
        <v>28</v>
      </c>
      <c r="F19" s="1">
        <v>74</v>
      </c>
      <c r="G19" s="1">
        <v>132</v>
      </c>
      <c r="H19" s="1" t="s">
        <v>22</v>
      </c>
      <c r="I19" s="1" t="s">
        <v>19</v>
      </c>
      <c r="J19" s="1">
        <v>27</v>
      </c>
      <c r="K19" s="1">
        <v>20</v>
      </c>
      <c r="L19" s="1">
        <v>25</v>
      </c>
      <c r="M19" s="1">
        <f t="shared" si="0"/>
        <v>5</v>
      </c>
      <c r="N19" s="1"/>
      <c r="O19" s="1">
        <v>14</v>
      </c>
      <c r="P19" s="2">
        <v>18</v>
      </c>
      <c r="Q19" s="1">
        <f t="shared" si="1"/>
        <v>4</v>
      </c>
      <c r="R19" s="1"/>
    </row>
    <row r="20" spans="1:18">
      <c r="A20" s="1" t="s">
        <v>57</v>
      </c>
      <c r="B20" s="1">
        <v>3</v>
      </c>
      <c r="C20" s="10" t="s">
        <v>58</v>
      </c>
      <c r="E20" s="1" t="s">
        <v>17</v>
      </c>
      <c r="F20" s="1">
        <v>68</v>
      </c>
      <c r="G20" s="1">
        <v>10</v>
      </c>
      <c r="H20" s="1" t="s">
        <v>22</v>
      </c>
      <c r="I20" s="1" t="s">
        <v>19</v>
      </c>
      <c r="J20" s="1">
        <v>29</v>
      </c>
      <c r="K20" s="1">
        <v>4</v>
      </c>
      <c r="L20" s="1">
        <v>28</v>
      </c>
      <c r="M20" s="1">
        <f t="shared" si="0"/>
        <v>24</v>
      </c>
      <c r="N20" s="1"/>
      <c r="O20" s="1">
        <v>0</v>
      </c>
      <c r="P20" s="2">
        <v>16</v>
      </c>
      <c r="Q20" s="1">
        <f t="shared" si="1"/>
        <v>16</v>
      </c>
      <c r="R20" s="1"/>
    </row>
    <row r="21" spans="1:18">
      <c r="A21" s="1" t="s">
        <v>59</v>
      </c>
      <c r="B21" s="1">
        <v>2</v>
      </c>
      <c r="C21" s="13" t="s">
        <v>60</v>
      </c>
      <c r="E21" s="1" t="s">
        <v>17</v>
      </c>
      <c r="F21" s="1">
        <v>61</v>
      </c>
      <c r="G21" s="1">
        <v>149</v>
      </c>
      <c r="H21" s="1" t="s">
        <v>18</v>
      </c>
      <c r="I21" s="1" t="s">
        <v>19</v>
      </c>
      <c r="J21" s="1">
        <v>23</v>
      </c>
      <c r="K21" s="1">
        <v>20</v>
      </c>
      <c r="L21" s="1">
        <v>28</v>
      </c>
      <c r="M21" s="1">
        <f t="shared" si="0"/>
        <v>8</v>
      </c>
      <c r="N21" s="1"/>
      <c r="O21" s="1">
        <v>17</v>
      </c>
      <c r="P21" s="2">
        <v>13</v>
      </c>
      <c r="Q21" s="1">
        <f t="shared" si="1"/>
        <v>-4</v>
      </c>
      <c r="R21" s="1"/>
    </row>
    <row r="22" spans="1:18">
      <c r="A22" s="1" t="s">
        <v>61</v>
      </c>
      <c r="B22" s="1">
        <v>3</v>
      </c>
      <c r="C22" s="11" t="s">
        <v>62</v>
      </c>
      <c r="E22" s="1" t="s">
        <v>28</v>
      </c>
      <c r="F22" s="1">
        <v>69</v>
      </c>
      <c r="G22" s="1">
        <v>50</v>
      </c>
      <c r="H22" s="1" t="s">
        <v>18</v>
      </c>
      <c r="I22" s="1" t="s">
        <v>19</v>
      </c>
      <c r="J22" s="1">
        <v>22</v>
      </c>
      <c r="K22" s="1">
        <v>12</v>
      </c>
      <c r="L22" s="1">
        <v>28</v>
      </c>
      <c r="M22" s="1">
        <f t="shared" si="0"/>
        <v>16</v>
      </c>
      <c r="N22" s="1"/>
      <c r="O22" s="1">
        <v>0</v>
      </c>
      <c r="P22" s="2">
        <v>13</v>
      </c>
      <c r="Q22" s="1">
        <f t="shared" si="1"/>
        <v>13</v>
      </c>
      <c r="R22" s="1"/>
    </row>
    <row r="23" spans="1:18">
      <c r="A23" s="1" t="s">
        <v>63</v>
      </c>
      <c r="B23" s="1">
        <v>3</v>
      </c>
      <c r="C23" s="12" t="s">
        <v>64</v>
      </c>
      <c r="E23" s="1" t="s">
        <v>17</v>
      </c>
      <c r="F23" s="1">
        <v>41</v>
      </c>
      <c r="G23" s="1">
        <v>62</v>
      </c>
      <c r="H23" s="1" t="s">
        <v>18</v>
      </c>
      <c r="I23" s="1" t="s">
        <v>23</v>
      </c>
      <c r="J23" s="1">
        <v>27</v>
      </c>
      <c r="K23" s="1">
        <v>0</v>
      </c>
      <c r="L23" s="1">
        <v>6</v>
      </c>
      <c r="M23" s="1">
        <f t="shared" si="0"/>
        <v>6</v>
      </c>
      <c r="N23" s="1"/>
      <c r="O23" s="1">
        <v>0</v>
      </c>
      <c r="P23" s="2">
        <v>4</v>
      </c>
      <c r="Q23" s="1">
        <f t="shared" si="1"/>
        <v>4</v>
      </c>
      <c r="R23" s="1"/>
    </row>
    <row r="24" spans="1:18">
      <c r="A24" s="1" t="s">
        <v>65</v>
      </c>
      <c r="B24" s="1">
        <v>1</v>
      </c>
      <c r="C24" s="10" t="s">
        <v>66</v>
      </c>
      <c r="E24" s="1" t="s">
        <v>17</v>
      </c>
      <c r="F24" s="1">
        <v>70</v>
      </c>
      <c r="G24" s="1">
        <v>11</v>
      </c>
      <c r="H24" s="1" t="s">
        <v>22</v>
      </c>
      <c r="I24" s="1" t="s">
        <v>23</v>
      </c>
      <c r="J24" s="1">
        <v>30</v>
      </c>
      <c r="K24" s="1">
        <v>12</v>
      </c>
      <c r="L24" s="1">
        <v>28</v>
      </c>
      <c r="M24" s="1">
        <f t="shared" si="0"/>
        <v>16</v>
      </c>
      <c r="N24" s="1"/>
      <c r="O24" s="1">
        <v>19</v>
      </c>
      <c r="P24" s="2">
        <v>35</v>
      </c>
      <c r="Q24" s="1">
        <f t="shared" si="1"/>
        <v>16</v>
      </c>
      <c r="R24" s="1"/>
    </row>
    <row r="25" spans="1:18">
      <c r="A25" s="1" t="s">
        <v>67</v>
      </c>
      <c r="B25" s="1">
        <v>1</v>
      </c>
      <c r="C25" s="10" t="s">
        <v>68</v>
      </c>
      <c r="E25" s="1" t="s">
        <v>17</v>
      </c>
      <c r="F25" s="1">
        <v>72</v>
      </c>
      <c r="G25" s="1">
        <v>38</v>
      </c>
      <c r="H25" s="1" t="s">
        <v>18</v>
      </c>
      <c r="I25" s="1" t="s">
        <v>19</v>
      </c>
      <c r="J25" s="1">
        <v>27</v>
      </c>
      <c r="K25" s="1">
        <v>5</v>
      </c>
      <c r="L25" s="1">
        <v>22</v>
      </c>
      <c r="M25" s="1">
        <f t="shared" si="0"/>
        <v>17</v>
      </c>
      <c r="N25" s="1"/>
      <c r="O25" s="1">
        <v>0</v>
      </c>
      <c r="P25" s="2">
        <v>6</v>
      </c>
      <c r="Q25" s="1">
        <f t="shared" si="1"/>
        <v>6</v>
      </c>
      <c r="R25" s="1"/>
    </row>
    <row r="26" spans="1:18">
      <c r="A26" s="1" t="s">
        <v>69</v>
      </c>
      <c r="B26" s="1">
        <v>4</v>
      </c>
      <c r="C26" s="10" t="s">
        <v>70</v>
      </c>
      <c r="E26" s="1" t="s">
        <v>17</v>
      </c>
      <c r="F26" s="1">
        <v>37</v>
      </c>
      <c r="G26" s="1">
        <v>23</v>
      </c>
      <c r="H26" s="1" t="s">
        <v>18</v>
      </c>
      <c r="I26" s="1" t="s">
        <v>23</v>
      </c>
      <c r="J26" s="1">
        <v>30</v>
      </c>
      <c r="K26" s="1">
        <v>0</v>
      </c>
      <c r="L26" s="1">
        <v>12</v>
      </c>
      <c r="M26" s="1">
        <f t="shared" si="0"/>
        <v>12</v>
      </c>
      <c r="N26" s="1"/>
      <c r="O26" s="1">
        <v>0</v>
      </c>
      <c r="P26" s="2">
        <v>2</v>
      </c>
      <c r="Q26" s="1">
        <f t="shared" si="1"/>
        <v>2</v>
      </c>
      <c r="R26" s="1"/>
    </row>
    <row r="27" spans="1:18">
      <c r="A27" s="1" t="s">
        <v>71</v>
      </c>
      <c r="B27" s="1">
        <v>4</v>
      </c>
      <c r="C27" s="10" t="s">
        <v>72</v>
      </c>
      <c r="E27" s="1" t="s">
        <v>17</v>
      </c>
      <c r="F27" s="1">
        <v>43</v>
      </c>
      <c r="G27" s="1">
        <v>36</v>
      </c>
      <c r="H27" s="1" t="s">
        <v>18</v>
      </c>
      <c r="I27" s="1" t="s">
        <v>19</v>
      </c>
      <c r="J27" s="1">
        <v>30</v>
      </c>
      <c r="K27" s="1">
        <v>28</v>
      </c>
      <c r="L27" s="1">
        <v>28</v>
      </c>
      <c r="M27" s="1">
        <f t="shared" si="0"/>
        <v>0</v>
      </c>
      <c r="N27" s="1"/>
      <c r="O27" s="1">
        <v>13</v>
      </c>
      <c r="P27" s="2">
        <v>14</v>
      </c>
      <c r="Q27" s="1">
        <f t="shared" si="1"/>
        <v>1</v>
      </c>
      <c r="R27" s="1"/>
    </row>
    <row r="28" spans="1:18">
      <c r="A28" s="1" t="s">
        <v>73</v>
      </c>
      <c r="B28" s="1">
        <v>1</v>
      </c>
      <c r="C28" s="10" t="s">
        <v>74</v>
      </c>
      <c r="E28" s="1" t="s">
        <v>17</v>
      </c>
      <c r="F28" s="1">
        <v>61</v>
      </c>
      <c r="G28" s="1">
        <v>78</v>
      </c>
      <c r="H28" s="1" t="s">
        <v>22</v>
      </c>
      <c r="I28" s="1" t="s">
        <v>23</v>
      </c>
      <c r="J28" s="1">
        <v>29</v>
      </c>
      <c r="K28" s="1">
        <v>12</v>
      </c>
      <c r="L28" s="1">
        <v>12</v>
      </c>
      <c r="M28" s="1">
        <f t="shared" si="0"/>
        <v>0</v>
      </c>
      <c r="N28" s="1"/>
      <c r="O28" s="1">
        <v>0</v>
      </c>
      <c r="P28" s="2">
        <v>2</v>
      </c>
      <c r="Q28" s="1">
        <f t="shared" si="1"/>
        <v>2</v>
      </c>
      <c r="R28" s="1"/>
    </row>
    <row r="29" spans="1:18">
      <c r="A29" s="1" t="s">
        <v>75</v>
      </c>
      <c r="B29" s="1">
        <v>1</v>
      </c>
      <c r="C29" s="10" t="s">
        <v>76</v>
      </c>
      <c r="E29" s="1" t="s">
        <v>28</v>
      </c>
      <c r="F29" s="1">
        <v>58</v>
      </c>
      <c r="G29" s="1">
        <v>47</v>
      </c>
      <c r="H29" s="1" t="s">
        <v>22</v>
      </c>
      <c r="I29" s="1" t="s">
        <v>19</v>
      </c>
      <c r="J29" s="1">
        <v>20</v>
      </c>
      <c r="K29" s="1">
        <v>4</v>
      </c>
      <c r="L29" s="1">
        <v>4</v>
      </c>
      <c r="M29" s="1">
        <f t="shared" si="0"/>
        <v>0</v>
      </c>
      <c r="N29" s="1"/>
      <c r="O29" s="1">
        <v>0</v>
      </c>
      <c r="P29" s="2">
        <v>5</v>
      </c>
      <c r="Q29" s="1">
        <f t="shared" si="1"/>
        <v>5</v>
      </c>
      <c r="R29" s="1"/>
    </row>
    <row r="30" spans="1:18">
      <c r="A30" s="1" t="s">
        <v>77</v>
      </c>
      <c r="B30" s="1">
        <v>1</v>
      </c>
      <c r="C30" s="10" t="s">
        <v>78</v>
      </c>
      <c r="E30" s="1" t="s">
        <v>17</v>
      </c>
      <c r="F30" s="1">
        <v>67</v>
      </c>
      <c r="G30" s="1">
        <v>67</v>
      </c>
      <c r="H30" s="1" t="s">
        <v>18</v>
      </c>
      <c r="I30" s="1" t="s">
        <v>19</v>
      </c>
      <c r="J30" s="1">
        <v>27</v>
      </c>
      <c r="K30" s="1">
        <v>0</v>
      </c>
      <c r="L30" s="1">
        <v>6</v>
      </c>
      <c r="M30" s="1">
        <f t="shared" si="0"/>
        <v>6</v>
      </c>
      <c r="N30" s="1"/>
      <c r="O30" s="1">
        <v>0</v>
      </c>
      <c r="P30" s="2">
        <v>5</v>
      </c>
      <c r="Q30" s="1">
        <f t="shared" si="1"/>
        <v>5</v>
      </c>
      <c r="R30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tabSelected="1" workbookViewId="0">
      <selection activeCell="B26" sqref="B26"/>
    </sheetView>
  </sheetViews>
  <sheetFormatPr defaultColWidth="9" defaultRowHeight="14.4"/>
  <sheetData>
    <row r="1" spans="1:1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  <c r="O1" s="2" t="s">
        <v>13</v>
      </c>
      <c r="P1" s="1" t="s">
        <v>14</v>
      </c>
    </row>
    <row r="2" spans="1:17">
      <c r="A2" t="s">
        <v>15</v>
      </c>
      <c r="B2" s="1">
        <v>4</v>
      </c>
      <c r="C2" s="3" t="s">
        <v>16</v>
      </c>
      <c r="D2" s="1" t="s">
        <v>17</v>
      </c>
      <c r="E2" s="1">
        <v>69</v>
      </c>
      <c r="F2" s="1">
        <v>41</v>
      </c>
      <c r="G2" s="1" t="s">
        <v>18</v>
      </c>
      <c r="H2" s="1" t="s">
        <v>19</v>
      </c>
      <c r="I2" s="1">
        <v>28</v>
      </c>
      <c r="J2" s="1">
        <v>27</v>
      </c>
      <c r="K2" s="1">
        <v>28</v>
      </c>
      <c r="L2" s="1">
        <f t="shared" ref="L2:L33" si="0">K2-J2</f>
        <v>1</v>
      </c>
      <c r="M2" s="1"/>
      <c r="N2" s="1">
        <v>9</v>
      </c>
      <c r="O2" s="2">
        <v>18</v>
      </c>
      <c r="P2" s="1">
        <f t="shared" ref="P2:P33" si="1">O2-N2</f>
        <v>9</v>
      </c>
      <c r="Q2">
        <v>1</v>
      </c>
    </row>
    <row r="3" spans="1:17">
      <c r="A3" t="s">
        <v>20</v>
      </c>
      <c r="B3" s="1">
        <v>2</v>
      </c>
      <c r="C3" s="3" t="s">
        <v>21</v>
      </c>
      <c r="D3" s="1" t="s">
        <v>17</v>
      </c>
      <c r="E3" s="1">
        <v>42</v>
      </c>
      <c r="F3" s="1">
        <v>109</v>
      </c>
      <c r="G3" s="1" t="s">
        <v>22</v>
      </c>
      <c r="H3" s="1" t="s">
        <v>23</v>
      </c>
      <c r="I3" s="1">
        <v>28</v>
      </c>
      <c r="J3" s="1">
        <v>6</v>
      </c>
      <c r="K3" s="1">
        <v>7</v>
      </c>
      <c r="L3" s="1">
        <f t="shared" si="0"/>
        <v>1</v>
      </c>
      <c r="M3" s="1"/>
      <c r="N3" s="1">
        <v>2</v>
      </c>
      <c r="O3" s="2">
        <v>6</v>
      </c>
      <c r="P3" s="1">
        <f t="shared" si="1"/>
        <v>4</v>
      </c>
      <c r="Q3">
        <v>2</v>
      </c>
    </row>
    <row r="4" spans="1:17">
      <c r="A4" t="s">
        <v>24</v>
      </c>
      <c r="B4" s="4">
        <v>4</v>
      </c>
      <c r="C4" s="3" t="s">
        <v>25</v>
      </c>
      <c r="D4" s="4" t="s">
        <v>17</v>
      </c>
      <c r="E4" s="4">
        <v>71</v>
      </c>
      <c r="F4" s="4">
        <v>12</v>
      </c>
      <c r="G4" s="4" t="s">
        <v>22</v>
      </c>
      <c r="H4" s="4" t="s">
        <v>19</v>
      </c>
      <c r="I4" s="4">
        <v>22</v>
      </c>
      <c r="J4" s="4">
        <v>8</v>
      </c>
      <c r="K4" s="4">
        <v>12</v>
      </c>
      <c r="L4" s="1">
        <f t="shared" si="0"/>
        <v>4</v>
      </c>
      <c r="M4" s="4"/>
      <c r="N4" s="4">
        <v>2</v>
      </c>
      <c r="O4" s="4">
        <v>11</v>
      </c>
      <c r="P4" s="1">
        <f t="shared" si="1"/>
        <v>9</v>
      </c>
      <c r="Q4">
        <v>3</v>
      </c>
    </row>
    <row r="5" spans="1:17">
      <c r="A5" t="s">
        <v>26</v>
      </c>
      <c r="B5" s="4">
        <v>4</v>
      </c>
      <c r="C5" s="5" t="s">
        <v>27</v>
      </c>
      <c r="D5" s="4" t="s">
        <v>28</v>
      </c>
      <c r="E5" s="4">
        <v>68</v>
      </c>
      <c r="F5" s="4">
        <v>127</v>
      </c>
      <c r="G5" s="4" t="s">
        <v>22</v>
      </c>
      <c r="H5" s="4" t="s">
        <v>19</v>
      </c>
      <c r="I5" s="4">
        <v>21</v>
      </c>
      <c r="J5" s="4">
        <v>9</v>
      </c>
      <c r="K5" s="4">
        <v>11</v>
      </c>
      <c r="L5" s="1">
        <f t="shared" si="0"/>
        <v>2</v>
      </c>
      <c r="M5" s="4"/>
      <c r="N5" s="4">
        <v>1</v>
      </c>
      <c r="O5" s="4">
        <v>15</v>
      </c>
      <c r="P5" s="1">
        <f t="shared" si="1"/>
        <v>14</v>
      </c>
      <c r="Q5">
        <v>4</v>
      </c>
    </row>
    <row r="6" spans="1:17">
      <c r="A6" t="s">
        <v>29</v>
      </c>
      <c r="B6" s="1">
        <v>3</v>
      </c>
      <c r="C6" s="5" t="s">
        <v>30</v>
      </c>
      <c r="D6" s="1" t="s">
        <v>28</v>
      </c>
      <c r="E6" s="1">
        <v>62</v>
      </c>
      <c r="F6" s="1">
        <v>22</v>
      </c>
      <c r="G6" s="1" t="s">
        <v>18</v>
      </c>
      <c r="H6" s="1" t="s">
        <v>19</v>
      </c>
      <c r="I6" s="1">
        <v>24</v>
      </c>
      <c r="J6" s="1">
        <v>9</v>
      </c>
      <c r="K6" s="1">
        <v>10</v>
      </c>
      <c r="L6" s="1">
        <f t="shared" si="0"/>
        <v>1</v>
      </c>
      <c r="M6" s="1"/>
      <c r="N6" s="1">
        <v>0</v>
      </c>
      <c r="O6" s="2">
        <v>4</v>
      </c>
      <c r="P6" s="1">
        <f t="shared" si="1"/>
        <v>4</v>
      </c>
      <c r="Q6">
        <v>5</v>
      </c>
    </row>
    <row r="7" spans="1:17">
      <c r="A7" t="s">
        <v>31</v>
      </c>
      <c r="B7" s="4">
        <v>3</v>
      </c>
      <c r="C7" s="3" t="s">
        <v>32</v>
      </c>
      <c r="D7" s="4" t="s">
        <v>17</v>
      </c>
      <c r="E7" s="4">
        <v>70</v>
      </c>
      <c r="F7" s="4">
        <v>118</v>
      </c>
      <c r="G7" s="4" t="s">
        <v>18</v>
      </c>
      <c r="H7" s="4" t="s">
        <v>19</v>
      </c>
      <c r="I7" s="4">
        <v>25</v>
      </c>
      <c r="J7" s="4">
        <v>28</v>
      </c>
      <c r="K7" s="4">
        <v>28</v>
      </c>
      <c r="L7" s="1">
        <f t="shared" si="0"/>
        <v>0</v>
      </c>
      <c r="M7" s="4"/>
      <c r="N7" s="4">
        <v>17</v>
      </c>
      <c r="O7" s="4">
        <v>27</v>
      </c>
      <c r="P7" s="1">
        <f t="shared" si="1"/>
        <v>10</v>
      </c>
      <c r="Q7">
        <v>6</v>
      </c>
    </row>
    <row r="8" spans="1:17">
      <c r="A8" t="s">
        <v>33</v>
      </c>
      <c r="B8" s="1">
        <v>2</v>
      </c>
      <c r="C8" s="3" t="s">
        <v>34</v>
      </c>
      <c r="D8" s="1" t="s">
        <v>28</v>
      </c>
      <c r="E8" s="1">
        <v>52</v>
      </c>
      <c r="F8" s="1">
        <v>19</v>
      </c>
      <c r="G8" s="1" t="s">
        <v>18</v>
      </c>
      <c r="H8" s="1" t="s">
        <v>19</v>
      </c>
      <c r="I8" s="1">
        <v>30</v>
      </c>
      <c r="J8" s="1">
        <v>11</v>
      </c>
      <c r="K8" s="1">
        <v>12</v>
      </c>
      <c r="L8" s="1">
        <f t="shared" si="0"/>
        <v>1</v>
      </c>
      <c r="M8" s="1"/>
      <c r="N8" s="1">
        <v>2</v>
      </c>
      <c r="O8" s="2">
        <v>2</v>
      </c>
      <c r="P8" s="1">
        <f t="shared" si="1"/>
        <v>0</v>
      </c>
      <c r="Q8">
        <v>7</v>
      </c>
    </row>
    <row r="9" spans="1:17">
      <c r="A9" t="s">
        <v>35</v>
      </c>
      <c r="B9" s="1">
        <v>1</v>
      </c>
      <c r="C9" s="3" t="s">
        <v>36</v>
      </c>
      <c r="D9" s="1" t="s">
        <v>28</v>
      </c>
      <c r="E9" s="1">
        <v>59</v>
      </c>
      <c r="F9" s="1">
        <v>11</v>
      </c>
      <c r="G9" s="1" t="s">
        <v>18</v>
      </c>
      <c r="H9" s="1" t="s">
        <v>19</v>
      </c>
      <c r="I9" s="1">
        <v>30</v>
      </c>
      <c r="J9" s="1">
        <v>12</v>
      </c>
      <c r="K9" s="1">
        <v>12</v>
      </c>
      <c r="L9" s="1">
        <f t="shared" si="0"/>
        <v>0</v>
      </c>
      <c r="M9" s="1"/>
      <c r="N9" s="1">
        <v>12</v>
      </c>
      <c r="O9" s="2">
        <v>13</v>
      </c>
      <c r="P9" s="1">
        <f t="shared" si="1"/>
        <v>1</v>
      </c>
      <c r="Q9">
        <v>8</v>
      </c>
    </row>
    <row r="10" spans="1:17">
      <c r="A10" t="s">
        <v>37</v>
      </c>
      <c r="B10" s="1">
        <v>1</v>
      </c>
      <c r="C10" s="3" t="s">
        <v>38</v>
      </c>
      <c r="D10" s="1" t="s">
        <v>17</v>
      </c>
      <c r="E10" s="1">
        <v>55</v>
      </c>
      <c r="F10" s="1">
        <v>15</v>
      </c>
      <c r="G10" s="1" t="s">
        <v>22</v>
      </c>
      <c r="H10" s="1" t="s">
        <v>19</v>
      </c>
      <c r="I10" s="1">
        <v>30</v>
      </c>
      <c r="J10" s="1">
        <v>4</v>
      </c>
      <c r="K10" s="1">
        <v>4</v>
      </c>
      <c r="L10" s="1">
        <f t="shared" si="0"/>
        <v>0</v>
      </c>
      <c r="M10" s="1"/>
      <c r="N10" s="1">
        <v>0</v>
      </c>
      <c r="O10" s="2">
        <v>12</v>
      </c>
      <c r="P10" s="1">
        <f t="shared" si="1"/>
        <v>12</v>
      </c>
      <c r="Q10">
        <v>9</v>
      </c>
    </row>
    <row r="11" spans="1:17">
      <c r="A11" t="s">
        <v>39</v>
      </c>
      <c r="B11" s="1">
        <v>3</v>
      </c>
      <c r="C11" s="6" t="s">
        <v>40</v>
      </c>
      <c r="D11" s="1" t="s">
        <v>17</v>
      </c>
      <c r="E11" s="1">
        <v>72</v>
      </c>
      <c r="F11" s="1">
        <v>60</v>
      </c>
      <c r="G11" s="1" t="s">
        <v>18</v>
      </c>
      <c r="H11" s="1" t="s">
        <v>19</v>
      </c>
      <c r="I11" s="1">
        <v>14</v>
      </c>
      <c r="J11" s="1">
        <v>20</v>
      </c>
      <c r="K11" s="1">
        <v>29</v>
      </c>
      <c r="L11" s="1">
        <f t="shared" si="0"/>
        <v>9</v>
      </c>
      <c r="M11" s="1"/>
      <c r="N11" s="1">
        <v>24</v>
      </c>
      <c r="O11" s="2">
        <v>30</v>
      </c>
      <c r="P11" s="1">
        <f t="shared" si="1"/>
        <v>6</v>
      </c>
      <c r="Q11">
        <v>10</v>
      </c>
    </row>
    <row r="12" spans="1:17">
      <c r="A12" t="s">
        <v>41</v>
      </c>
      <c r="B12" s="1">
        <v>2</v>
      </c>
      <c r="C12" s="7" t="s">
        <v>79</v>
      </c>
      <c r="D12" s="1" t="s">
        <v>17</v>
      </c>
      <c r="E12" s="1">
        <v>65</v>
      </c>
      <c r="F12" s="1">
        <v>29</v>
      </c>
      <c r="G12" s="1" t="s">
        <v>22</v>
      </c>
      <c r="H12" s="1" t="s">
        <v>23</v>
      </c>
      <c r="I12" s="1">
        <v>22</v>
      </c>
      <c r="J12" s="1">
        <v>3</v>
      </c>
      <c r="K12" s="1">
        <v>8</v>
      </c>
      <c r="L12" s="1">
        <f t="shared" si="0"/>
        <v>5</v>
      </c>
      <c r="M12" s="1"/>
      <c r="N12" s="1">
        <v>0</v>
      </c>
      <c r="O12" s="2">
        <v>0</v>
      </c>
      <c r="P12" s="1">
        <f t="shared" si="1"/>
        <v>0</v>
      </c>
      <c r="Q12">
        <v>11</v>
      </c>
    </row>
    <row r="13" spans="1:17">
      <c r="A13" t="s">
        <v>43</v>
      </c>
      <c r="B13" s="1">
        <v>2</v>
      </c>
      <c r="C13" s="8" t="s">
        <v>42</v>
      </c>
      <c r="D13" s="1" t="s">
        <v>17</v>
      </c>
      <c r="E13" s="1">
        <v>69</v>
      </c>
      <c r="F13" s="1">
        <v>37</v>
      </c>
      <c r="G13" s="1" t="s">
        <v>18</v>
      </c>
      <c r="H13" s="1" t="s">
        <v>19</v>
      </c>
      <c r="I13" s="1">
        <v>20</v>
      </c>
      <c r="J13" s="1">
        <v>4</v>
      </c>
      <c r="K13" s="1">
        <v>4</v>
      </c>
      <c r="L13" s="1">
        <f t="shared" si="0"/>
        <v>0</v>
      </c>
      <c r="M13" s="1"/>
      <c r="N13" s="1">
        <v>0</v>
      </c>
      <c r="O13" s="2">
        <v>0</v>
      </c>
      <c r="P13" s="1">
        <f t="shared" si="1"/>
        <v>0</v>
      </c>
      <c r="Q13">
        <v>12</v>
      </c>
    </row>
    <row r="14" spans="1:17">
      <c r="A14" t="s">
        <v>45</v>
      </c>
      <c r="B14" s="1">
        <v>2</v>
      </c>
      <c r="C14" s="8" t="s">
        <v>80</v>
      </c>
      <c r="D14" s="1" t="s">
        <v>28</v>
      </c>
      <c r="E14" s="1">
        <v>74</v>
      </c>
      <c r="F14" s="1">
        <v>91</v>
      </c>
      <c r="G14" s="1" t="s">
        <v>22</v>
      </c>
      <c r="H14" s="1" t="s">
        <v>23</v>
      </c>
      <c r="I14" s="1">
        <v>23</v>
      </c>
      <c r="J14" s="1">
        <v>12</v>
      </c>
      <c r="K14" s="1">
        <v>13</v>
      </c>
      <c r="L14" s="1">
        <f t="shared" si="0"/>
        <v>1</v>
      </c>
      <c r="M14" s="1"/>
      <c r="N14" s="1">
        <v>12</v>
      </c>
      <c r="O14" s="2">
        <v>18</v>
      </c>
      <c r="P14" s="1">
        <f t="shared" si="1"/>
        <v>6</v>
      </c>
      <c r="Q14">
        <v>13</v>
      </c>
    </row>
    <row r="15" spans="1:17">
      <c r="A15" t="s">
        <v>47</v>
      </c>
      <c r="B15" s="1">
        <v>1</v>
      </c>
      <c r="C15" s="8" t="s">
        <v>44</v>
      </c>
      <c r="D15" s="1" t="s">
        <v>17</v>
      </c>
      <c r="E15" s="1">
        <v>51</v>
      </c>
      <c r="F15" s="1">
        <v>41</v>
      </c>
      <c r="G15" s="1" t="s">
        <v>22</v>
      </c>
      <c r="H15" s="1" t="s">
        <v>23</v>
      </c>
      <c r="I15" s="1">
        <v>20</v>
      </c>
      <c r="J15" s="1">
        <v>20</v>
      </c>
      <c r="K15" s="1">
        <v>36</v>
      </c>
      <c r="L15" s="1">
        <f t="shared" si="0"/>
        <v>16</v>
      </c>
      <c r="M15" s="1"/>
      <c r="N15" s="1">
        <v>17</v>
      </c>
      <c r="O15" s="2">
        <v>29</v>
      </c>
      <c r="P15" s="1">
        <f t="shared" si="1"/>
        <v>12</v>
      </c>
      <c r="Q15">
        <v>14</v>
      </c>
    </row>
    <row r="16" spans="1:17">
      <c r="A16" s="9" t="s">
        <v>61</v>
      </c>
      <c r="B16" s="1">
        <v>4</v>
      </c>
      <c r="C16" s="8" t="s">
        <v>81</v>
      </c>
      <c r="D16" s="1" t="s">
        <v>17</v>
      </c>
      <c r="E16" s="1">
        <v>74</v>
      </c>
      <c r="F16" s="1">
        <v>57</v>
      </c>
      <c r="G16" s="1" t="s">
        <v>18</v>
      </c>
      <c r="H16" s="1" t="s">
        <v>19</v>
      </c>
      <c r="I16" s="1">
        <v>22</v>
      </c>
      <c r="J16" s="1">
        <v>24</v>
      </c>
      <c r="K16" s="1">
        <v>27</v>
      </c>
      <c r="L16" s="1">
        <f t="shared" si="0"/>
        <v>3</v>
      </c>
      <c r="M16" s="1"/>
      <c r="N16" s="1">
        <v>14</v>
      </c>
      <c r="O16" s="2">
        <v>21</v>
      </c>
      <c r="P16" s="1">
        <f t="shared" si="1"/>
        <v>7</v>
      </c>
      <c r="Q16">
        <v>15</v>
      </c>
    </row>
    <row r="17" spans="1:17">
      <c r="A17" t="s">
        <v>49</v>
      </c>
      <c r="B17" s="1">
        <v>3</v>
      </c>
      <c r="C17" s="8" t="s">
        <v>46</v>
      </c>
      <c r="D17" s="1" t="s">
        <v>17</v>
      </c>
      <c r="E17" s="1">
        <v>56</v>
      </c>
      <c r="F17" s="1">
        <v>36</v>
      </c>
      <c r="G17" s="1" t="s">
        <v>22</v>
      </c>
      <c r="H17" s="1" t="s">
        <v>23</v>
      </c>
      <c r="I17" s="1">
        <v>26</v>
      </c>
      <c r="J17" s="1">
        <v>4</v>
      </c>
      <c r="K17" s="1">
        <v>6</v>
      </c>
      <c r="L17" s="1">
        <f t="shared" si="0"/>
        <v>2</v>
      </c>
      <c r="M17" s="1"/>
      <c r="N17" s="1">
        <v>0</v>
      </c>
      <c r="O17" s="2">
        <v>0</v>
      </c>
      <c r="P17" s="1">
        <f t="shared" si="1"/>
        <v>0</v>
      </c>
      <c r="Q17">
        <v>16</v>
      </c>
    </row>
    <row r="18" spans="1:17">
      <c r="A18" t="s">
        <v>51</v>
      </c>
      <c r="B18" s="1">
        <v>3</v>
      </c>
      <c r="C18" s="8" t="s">
        <v>48</v>
      </c>
      <c r="D18" s="1" t="s">
        <v>17</v>
      </c>
      <c r="E18" s="1">
        <v>73</v>
      </c>
      <c r="F18" s="1">
        <v>10</v>
      </c>
      <c r="G18" s="1" t="s">
        <v>22</v>
      </c>
      <c r="H18" s="1" t="s">
        <v>19</v>
      </c>
      <c r="I18" s="1">
        <v>29</v>
      </c>
      <c r="J18" s="1">
        <v>22</v>
      </c>
      <c r="K18" s="1">
        <v>23</v>
      </c>
      <c r="L18" s="1">
        <f t="shared" si="0"/>
        <v>1</v>
      </c>
      <c r="M18" s="1"/>
      <c r="N18" s="1">
        <v>1</v>
      </c>
      <c r="O18" s="2">
        <v>8</v>
      </c>
      <c r="P18" s="1">
        <f t="shared" si="1"/>
        <v>7</v>
      </c>
      <c r="Q18">
        <v>17</v>
      </c>
    </row>
    <row r="19" spans="1:17">
      <c r="A19" t="s">
        <v>53</v>
      </c>
      <c r="B19" s="1">
        <v>4</v>
      </c>
      <c r="C19" s="10" t="s">
        <v>50</v>
      </c>
      <c r="D19" s="1" t="s">
        <v>28</v>
      </c>
      <c r="E19" s="1">
        <v>77</v>
      </c>
      <c r="F19" s="1">
        <v>38</v>
      </c>
      <c r="G19" s="1" t="s">
        <v>22</v>
      </c>
      <c r="H19" s="1" t="s">
        <v>19</v>
      </c>
      <c r="I19" s="1">
        <v>22</v>
      </c>
      <c r="J19" s="1">
        <v>3</v>
      </c>
      <c r="K19" s="1">
        <v>5</v>
      </c>
      <c r="L19" s="1">
        <f t="shared" si="0"/>
        <v>2</v>
      </c>
      <c r="M19" s="1"/>
      <c r="N19" s="1">
        <v>0</v>
      </c>
      <c r="O19" s="2">
        <v>0</v>
      </c>
      <c r="P19" s="1">
        <f t="shared" si="1"/>
        <v>0</v>
      </c>
      <c r="Q19">
        <v>18</v>
      </c>
    </row>
    <row r="20" spans="1:17">
      <c r="A20" t="s">
        <v>55</v>
      </c>
      <c r="B20" s="1">
        <v>2</v>
      </c>
      <c r="C20" s="10" t="s">
        <v>52</v>
      </c>
      <c r="D20" s="1" t="s">
        <v>17</v>
      </c>
      <c r="E20" s="1">
        <v>76</v>
      </c>
      <c r="F20" s="1">
        <v>12</v>
      </c>
      <c r="G20" s="1" t="s">
        <v>18</v>
      </c>
      <c r="H20" s="1" t="s">
        <v>19</v>
      </c>
      <c r="I20" s="1">
        <v>30</v>
      </c>
      <c r="J20" s="1">
        <v>18</v>
      </c>
      <c r="K20" s="1">
        <v>36</v>
      </c>
      <c r="L20" s="1">
        <f t="shared" si="0"/>
        <v>18</v>
      </c>
      <c r="M20" s="1"/>
      <c r="N20" s="1">
        <v>16</v>
      </c>
      <c r="O20" s="2">
        <v>32</v>
      </c>
      <c r="P20" s="1">
        <f t="shared" si="1"/>
        <v>16</v>
      </c>
      <c r="Q20">
        <v>19</v>
      </c>
    </row>
    <row r="21" spans="1:17">
      <c r="A21" t="s">
        <v>57</v>
      </c>
      <c r="B21" s="1">
        <v>3</v>
      </c>
      <c r="C21" s="10" t="s">
        <v>54</v>
      </c>
      <c r="D21" s="1" t="s">
        <v>17</v>
      </c>
      <c r="E21" s="1">
        <v>77</v>
      </c>
      <c r="F21" s="1">
        <v>42</v>
      </c>
      <c r="G21" s="1" t="s">
        <v>22</v>
      </c>
      <c r="H21" s="1" t="s">
        <v>19</v>
      </c>
      <c r="I21" s="1">
        <v>29</v>
      </c>
      <c r="J21" s="1">
        <v>4</v>
      </c>
      <c r="K21" s="1">
        <v>6</v>
      </c>
      <c r="L21" s="1">
        <f t="shared" si="0"/>
        <v>2</v>
      </c>
      <c r="M21" s="1"/>
      <c r="N21" s="1">
        <v>0</v>
      </c>
      <c r="O21" s="2">
        <v>0</v>
      </c>
      <c r="P21" s="1">
        <f t="shared" si="1"/>
        <v>0</v>
      </c>
      <c r="Q21">
        <v>20</v>
      </c>
    </row>
    <row r="22" spans="1:17">
      <c r="A22" t="s">
        <v>59</v>
      </c>
      <c r="B22" s="1">
        <v>2</v>
      </c>
      <c r="C22" s="5" t="s">
        <v>82</v>
      </c>
      <c r="D22" s="1" t="s">
        <v>17</v>
      </c>
      <c r="E22" s="1">
        <v>75</v>
      </c>
      <c r="F22" s="1">
        <v>42</v>
      </c>
      <c r="G22" s="1" t="s">
        <v>22</v>
      </c>
      <c r="H22" s="1" t="s">
        <v>19</v>
      </c>
      <c r="I22" s="1">
        <v>25</v>
      </c>
      <c r="J22" s="1">
        <v>16</v>
      </c>
      <c r="K22" s="1">
        <v>20</v>
      </c>
      <c r="L22" s="1">
        <f t="shared" si="0"/>
        <v>4</v>
      </c>
      <c r="M22" s="1"/>
      <c r="N22" s="1">
        <v>10</v>
      </c>
      <c r="O22" s="2">
        <v>10</v>
      </c>
      <c r="P22" s="1">
        <f t="shared" si="1"/>
        <v>0</v>
      </c>
      <c r="Q22">
        <v>21</v>
      </c>
    </row>
    <row r="23" spans="1:17">
      <c r="A23" t="s">
        <v>63</v>
      </c>
      <c r="B23" s="1">
        <v>4</v>
      </c>
      <c r="C23" s="10" t="s">
        <v>56</v>
      </c>
      <c r="D23" s="1" t="s">
        <v>28</v>
      </c>
      <c r="E23" s="1">
        <v>74</v>
      </c>
      <c r="F23" s="1">
        <v>132</v>
      </c>
      <c r="G23" s="1" t="s">
        <v>22</v>
      </c>
      <c r="H23" s="1" t="s">
        <v>19</v>
      </c>
      <c r="I23" s="1">
        <v>27</v>
      </c>
      <c r="J23" s="1">
        <v>20</v>
      </c>
      <c r="K23" s="1">
        <v>25</v>
      </c>
      <c r="L23" s="1">
        <f t="shared" si="0"/>
        <v>5</v>
      </c>
      <c r="M23" s="1"/>
      <c r="N23" s="1">
        <v>14</v>
      </c>
      <c r="O23" s="2">
        <v>18</v>
      </c>
      <c r="P23" s="1">
        <f t="shared" si="1"/>
        <v>4</v>
      </c>
      <c r="Q23">
        <v>22</v>
      </c>
    </row>
    <row r="24" spans="1:17">
      <c r="A24" t="s">
        <v>65</v>
      </c>
      <c r="B24" s="1">
        <v>3</v>
      </c>
      <c r="C24" s="10" t="s">
        <v>58</v>
      </c>
      <c r="D24" s="1" t="s">
        <v>17</v>
      </c>
      <c r="E24" s="1">
        <v>68</v>
      </c>
      <c r="F24" s="1">
        <v>10</v>
      </c>
      <c r="G24" s="1" t="s">
        <v>22</v>
      </c>
      <c r="H24" s="1" t="s">
        <v>19</v>
      </c>
      <c r="I24" s="1">
        <v>29</v>
      </c>
      <c r="J24" s="1">
        <v>4</v>
      </c>
      <c r="K24" s="1">
        <v>28</v>
      </c>
      <c r="L24" s="1">
        <f t="shared" si="0"/>
        <v>24</v>
      </c>
      <c r="M24" s="1"/>
      <c r="N24" s="1">
        <v>0</v>
      </c>
      <c r="O24" s="2">
        <v>16</v>
      </c>
      <c r="P24" s="1">
        <f t="shared" si="1"/>
        <v>16</v>
      </c>
      <c r="Q24">
        <v>23</v>
      </c>
    </row>
    <row r="25" customFormat="1" spans="1:17">
      <c r="A25" t="s">
        <v>67</v>
      </c>
      <c r="B25" s="1">
        <v>3</v>
      </c>
      <c r="C25" s="11" t="s">
        <v>62</v>
      </c>
      <c r="D25" s="1" t="s">
        <v>28</v>
      </c>
      <c r="E25" s="1">
        <v>69</v>
      </c>
      <c r="F25" s="1">
        <v>50</v>
      </c>
      <c r="G25" s="1" t="s">
        <v>18</v>
      </c>
      <c r="H25" s="1" t="s">
        <v>19</v>
      </c>
      <c r="I25" s="1">
        <v>22</v>
      </c>
      <c r="J25" s="1">
        <v>12</v>
      </c>
      <c r="K25" s="1">
        <v>28</v>
      </c>
      <c r="L25" s="1">
        <f t="shared" si="0"/>
        <v>16</v>
      </c>
      <c r="M25" s="1"/>
      <c r="N25" s="1">
        <v>0</v>
      </c>
      <c r="O25" s="2">
        <v>13</v>
      </c>
      <c r="P25" s="1">
        <f t="shared" si="1"/>
        <v>13</v>
      </c>
      <c r="Q25">
        <v>24</v>
      </c>
    </row>
    <row r="26" spans="1:17">
      <c r="A26" t="s">
        <v>69</v>
      </c>
      <c r="B26" s="1">
        <v>3</v>
      </c>
      <c r="C26" s="12" t="s">
        <v>64</v>
      </c>
      <c r="D26" s="1" t="s">
        <v>17</v>
      </c>
      <c r="E26" s="1">
        <v>41</v>
      </c>
      <c r="F26" s="1">
        <v>62</v>
      </c>
      <c r="G26" s="1" t="s">
        <v>18</v>
      </c>
      <c r="H26" s="1" t="s">
        <v>23</v>
      </c>
      <c r="I26" s="1">
        <v>27</v>
      </c>
      <c r="J26" s="1">
        <v>0</v>
      </c>
      <c r="K26" s="1">
        <v>6</v>
      </c>
      <c r="L26" s="1">
        <f t="shared" si="0"/>
        <v>6</v>
      </c>
      <c r="M26" s="1"/>
      <c r="N26" s="1">
        <v>0</v>
      </c>
      <c r="O26" s="2">
        <v>4</v>
      </c>
      <c r="P26" s="1">
        <f t="shared" si="1"/>
        <v>4</v>
      </c>
      <c r="Q26">
        <v>25</v>
      </c>
    </row>
    <row r="27" spans="1:17">
      <c r="A27" t="s">
        <v>71</v>
      </c>
      <c r="B27" s="1">
        <v>1</v>
      </c>
      <c r="C27" s="10" t="s">
        <v>66</v>
      </c>
      <c r="D27" s="1" t="s">
        <v>17</v>
      </c>
      <c r="E27" s="1">
        <v>70</v>
      </c>
      <c r="F27" s="1">
        <v>11</v>
      </c>
      <c r="G27" s="1" t="s">
        <v>22</v>
      </c>
      <c r="H27" s="1" t="s">
        <v>23</v>
      </c>
      <c r="I27" s="1">
        <v>30</v>
      </c>
      <c r="J27" s="1">
        <v>12</v>
      </c>
      <c r="K27" s="1">
        <v>28</v>
      </c>
      <c r="L27" s="1">
        <f t="shared" si="0"/>
        <v>16</v>
      </c>
      <c r="M27" s="1"/>
      <c r="N27" s="1">
        <v>19</v>
      </c>
      <c r="O27" s="2">
        <v>35</v>
      </c>
      <c r="P27" s="1">
        <f t="shared" si="1"/>
        <v>16</v>
      </c>
      <c r="Q27">
        <v>26</v>
      </c>
    </row>
    <row r="28" spans="1:17">
      <c r="A28" t="s">
        <v>73</v>
      </c>
      <c r="B28" s="1">
        <v>1</v>
      </c>
      <c r="C28" s="10" t="s">
        <v>68</v>
      </c>
      <c r="D28" s="1" t="s">
        <v>17</v>
      </c>
      <c r="E28" s="1">
        <v>72</v>
      </c>
      <c r="F28" s="1">
        <v>38</v>
      </c>
      <c r="G28" s="1" t="s">
        <v>18</v>
      </c>
      <c r="H28" s="1" t="s">
        <v>19</v>
      </c>
      <c r="I28" s="1">
        <v>27</v>
      </c>
      <c r="J28" s="1">
        <v>5</v>
      </c>
      <c r="K28" s="1">
        <v>22</v>
      </c>
      <c r="L28" s="1">
        <f t="shared" si="0"/>
        <v>17</v>
      </c>
      <c r="M28" s="1"/>
      <c r="N28" s="1">
        <v>0</v>
      </c>
      <c r="O28" s="2">
        <v>6</v>
      </c>
      <c r="P28" s="1">
        <f t="shared" si="1"/>
        <v>6</v>
      </c>
      <c r="Q28">
        <v>27</v>
      </c>
    </row>
    <row r="29" spans="1:17">
      <c r="A29" t="s">
        <v>75</v>
      </c>
      <c r="B29" s="1">
        <v>4</v>
      </c>
      <c r="C29" s="10" t="s">
        <v>70</v>
      </c>
      <c r="D29" s="1" t="s">
        <v>17</v>
      </c>
      <c r="E29" s="1">
        <v>37</v>
      </c>
      <c r="F29" s="1">
        <v>23</v>
      </c>
      <c r="G29" s="1" t="s">
        <v>18</v>
      </c>
      <c r="H29" s="1" t="s">
        <v>23</v>
      </c>
      <c r="I29" s="1">
        <v>30</v>
      </c>
      <c r="J29" s="1">
        <v>0</v>
      </c>
      <c r="K29" s="1">
        <v>12</v>
      </c>
      <c r="L29" s="1">
        <f t="shared" si="0"/>
        <v>12</v>
      </c>
      <c r="M29" s="1"/>
      <c r="N29" s="1">
        <v>0</v>
      </c>
      <c r="O29" s="2">
        <v>2</v>
      </c>
      <c r="P29" s="1">
        <f t="shared" si="1"/>
        <v>2</v>
      </c>
      <c r="Q29">
        <v>28</v>
      </c>
    </row>
    <row r="30" spans="1:17">
      <c r="A30" t="s">
        <v>77</v>
      </c>
      <c r="B30" s="1">
        <v>4</v>
      </c>
      <c r="C30" s="10" t="s">
        <v>72</v>
      </c>
      <c r="D30" s="1" t="s">
        <v>17</v>
      </c>
      <c r="E30" s="1">
        <v>43</v>
      </c>
      <c r="F30" s="1">
        <v>36</v>
      </c>
      <c r="G30" s="1" t="s">
        <v>18</v>
      </c>
      <c r="H30" s="1" t="s">
        <v>19</v>
      </c>
      <c r="I30" s="1">
        <v>30</v>
      </c>
      <c r="J30" s="1">
        <v>28</v>
      </c>
      <c r="K30" s="1">
        <v>28</v>
      </c>
      <c r="L30" s="1">
        <f t="shared" si="0"/>
        <v>0</v>
      </c>
      <c r="M30" s="1"/>
      <c r="N30" s="1">
        <v>13</v>
      </c>
      <c r="O30" s="2">
        <v>14</v>
      </c>
      <c r="P30" s="1">
        <f t="shared" si="1"/>
        <v>1</v>
      </c>
      <c r="Q30">
        <v>29</v>
      </c>
    </row>
    <row r="31" spans="1:17">
      <c r="A31" t="s">
        <v>83</v>
      </c>
      <c r="B31" s="1">
        <v>1</v>
      </c>
      <c r="C31" s="10" t="s">
        <v>74</v>
      </c>
      <c r="D31" s="1" t="s">
        <v>17</v>
      </c>
      <c r="E31" s="1">
        <v>61</v>
      </c>
      <c r="F31" s="1">
        <v>78</v>
      </c>
      <c r="G31" s="1" t="s">
        <v>22</v>
      </c>
      <c r="H31" s="1" t="s">
        <v>23</v>
      </c>
      <c r="I31" s="1">
        <v>29</v>
      </c>
      <c r="J31" s="1">
        <v>12</v>
      </c>
      <c r="K31" s="1">
        <v>12</v>
      </c>
      <c r="L31" s="1">
        <f t="shared" si="0"/>
        <v>0</v>
      </c>
      <c r="M31" s="1"/>
      <c r="N31" s="1">
        <v>0</v>
      </c>
      <c r="O31" s="2">
        <v>2</v>
      </c>
      <c r="P31" s="1">
        <f t="shared" si="1"/>
        <v>2</v>
      </c>
      <c r="Q31">
        <v>30</v>
      </c>
    </row>
    <row r="32" spans="1:17">
      <c r="A32" t="s">
        <v>84</v>
      </c>
      <c r="B32" s="1">
        <v>1</v>
      </c>
      <c r="C32" s="10" t="s">
        <v>76</v>
      </c>
      <c r="D32" s="1" t="s">
        <v>28</v>
      </c>
      <c r="E32" s="1">
        <v>58</v>
      </c>
      <c r="F32" s="1">
        <v>47</v>
      </c>
      <c r="G32" s="1" t="s">
        <v>22</v>
      </c>
      <c r="H32" s="1" t="s">
        <v>19</v>
      </c>
      <c r="I32" s="1">
        <v>20</v>
      </c>
      <c r="J32" s="1">
        <v>4</v>
      </c>
      <c r="K32" s="1">
        <v>4</v>
      </c>
      <c r="L32" s="1">
        <f t="shared" si="0"/>
        <v>0</v>
      </c>
      <c r="M32" s="1"/>
      <c r="N32" s="1">
        <v>0</v>
      </c>
      <c r="O32" s="2">
        <v>5</v>
      </c>
      <c r="P32" s="1">
        <f t="shared" si="1"/>
        <v>5</v>
      </c>
      <c r="Q32">
        <v>31</v>
      </c>
    </row>
    <row r="33" spans="1:17">
      <c r="A33" t="s">
        <v>85</v>
      </c>
      <c r="B33" s="1">
        <v>1</v>
      </c>
      <c r="C33" s="10" t="s">
        <v>78</v>
      </c>
      <c r="D33" s="1" t="s">
        <v>17</v>
      </c>
      <c r="E33" s="1">
        <v>67</v>
      </c>
      <c r="F33" s="1">
        <v>67</v>
      </c>
      <c r="G33" s="1" t="s">
        <v>18</v>
      </c>
      <c r="H33" s="1" t="s">
        <v>19</v>
      </c>
      <c r="I33" s="1">
        <v>27</v>
      </c>
      <c r="J33" s="1">
        <v>0</v>
      </c>
      <c r="K33" s="1">
        <v>6</v>
      </c>
      <c r="L33" s="1">
        <f t="shared" si="0"/>
        <v>6</v>
      </c>
      <c r="M33" s="1"/>
      <c r="N33" s="1">
        <v>0</v>
      </c>
      <c r="O33" s="2">
        <v>5</v>
      </c>
      <c r="P33" s="1">
        <f t="shared" si="1"/>
        <v>5</v>
      </c>
      <c r="Q33">
        <v>32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9:I13"/>
  <sheetViews>
    <sheetView workbookViewId="0">
      <selection activeCell="D13" sqref="D13"/>
    </sheetView>
  </sheetViews>
  <sheetFormatPr defaultColWidth="8.88888888888889" defaultRowHeight="14.4"/>
  <sheetData>
    <row r="9" spans="3:9">
      <c r="I9" t="s">
        <v>0</v>
      </c>
    </row>
    <row r="10" spans="3:9">
      <c r="C10" t="s">
        <v>86</v>
      </c>
      <c r="D10">
        <v>1</v>
      </c>
      <c r="F10" t="s">
        <v>87</v>
      </c>
      <c r="I10" t="s">
        <v>88</v>
      </c>
    </row>
    <row r="11" spans="3:9">
      <c r="C11" t="s">
        <v>89</v>
      </c>
      <c r="D11">
        <v>2</v>
      </c>
      <c r="F11" t="s">
        <v>90</v>
      </c>
    </row>
    <row r="12" spans="3:9">
      <c r="C12" t="s">
        <v>91</v>
      </c>
      <c r="D12">
        <v>3</v>
      </c>
      <c r="F12" t="s">
        <v>92</v>
      </c>
    </row>
    <row r="13" spans="3:9">
      <c r="C13" t="s">
        <v>93</v>
      </c>
      <c r="D13">
        <v>4</v>
      </c>
      <c r="F13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fx</vt:lpstr>
      <vt:lpstr>rest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竹林风</cp:lastModifiedBy>
  <dcterms:created xsi:type="dcterms:W3CDTF">2023-05-12T11:15:00Z</dcterms:created>
  <dcterms:modified xsi:type="dcterms:W3CDTF">2026-07-05T13:20:29Z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CE5C5A1B881C449AAD54A08162CA4D64_13</vt:lpwstr>
  </property>
  <property fmtid="{D5CDD505-2E9C-101B-9397-08002B2CF9AE}" pid="4" name="CalculationRule">
    <vt:i4>0</vt:i4>
  </property>
</Properties>
</file>